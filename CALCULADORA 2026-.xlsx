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⚙️ SETUP GOOGLE SHEETS" sheetId="1" r:id="rId5"/>
    <sheet state="visible" name="📖 INSTRUCCIONES" sheetId="2" r:id="rId6"/>
    <sheet state="hidden" name="Hoja 2" sheetId="3" r:id="rId7"/>
    <sheet state="visible" name="🧂 INGREDIENTES" sheetId="4" r:id="rId8"/>
    <sheet state="visible" name="🧮 CALCULADORA" sheetId="5" r:id="rId9"/>
    <sheet state="visible" name="📚 RECETAS GUARDADAS" sheetId="6" r:id="rId10"/>
    <sheet state="visible" name="⚙️ DETALLE TÉCNICO" sheetId="7" r:id="rId11"/>
  </sheets>
  <definedNames/>
  <calcPr/>
</workbook>
</file>

<file path=xl/sharedStrings.xml><?xml version="1.0" encoding="utf-8"?>
<sst xmlns="http://schemas.openxmlformats.org/spreadsheetml/2006/main" count="501" uniqueCount="216">
  <si>
    <t>🧁  BASE DE INGREDIENTES</t>
  </si>
  <si>
    <t>⚙️  CONFIGURACIÓN INICIAL — GOOGLE SHEETS</t>
  </si>
  <si>
    <t>📖  GUÍA DE USO — CALCULADORA DE COSTOS 360</t>
  </si>
  <si>
    <t>Mantené actualizada esta lista para que la calculadora funcione correctamente.</t>
  </si>
  <si>
    <t>Hacé esto UNA SOLA VEZ después de subir el archivo a Google Drive. Tarda 3 minutos.</t>
  </si>
  <si>
    <t>Seguí estos pasos para costear cualquier receta de forma profesional.</t>
  </si>
  <si>
    <t>#</t>
  </si>
  <si>
    <t>INGREDIENTE</t>
  </si>
  <si>
    <t>PRECIO por KG/L/UNID</t>
  </si>
  <si>
    <t>UNIDAD</t>
  </si>
  <si>
    <t>CATEGORÍA</t>
  </si>
  <si>
    <t>ÚLTIMA ACTUALIZACIÓN</t>
  </si>
  <si>
    <t>NOTAS</t>
  </si>
  <si>
    <t>PASO 1 — Subir a Google Drive</t>
  </si>
  <si>
    <t>Harina 0000</t>
  </si>
  <si>
    <t>PASO 1 — Actualizá tus ingredientes</t>
  </si>
  <si>
    <t>KG</t>
  </si>
  <si>
    <t>Básicos</t>
  </si>
  <si>
    <t xml:space="preserve">   • Andá a drive.google.com</t>
  </si>
  <si>
    <t xml:space="preserve">   • Abrí la hoja  🧂 INGREDIENTES.</t>
  </si>
  <si>
    <t>Azúcar</t>
  </si>
  <si>
    <t>co</t>
  </si>
  <si>
    <t xml:space="preserve">   • Revisá que los precios estén al día. Si cambió el precio de algo, actualizalo ahí.</t>
  </si>
  <si>
    <t>queso mascarpone</t>
  </si>
  <si>
    <t xml:space="preserve">   • Arrastrá este archivo (.xlsx) a tu Drive, o usá el botón '+ Nuevo' → 'Subir archivo'.</t>
  </si>
  <si>
    <t>Lácteos</t>
  </si>
  <si>
    <t xml:space="preserve">   • Si usás un ingrediente que no está en la lista, agregalo al final con su precio y unidad.</t>
  </si>
  <si>
    <t xml:space="preserve">   • Una vez subido, hacé doble clic sobre él.</t>
  </si>
  <si>
    <t xml:space="preserve">manteca </t>
  </si>
  <si>
    <t xml:space="preserve">   • Las unidades disponibles son: KG, LITRO, UNIDAD</t>
  </si>
  <si>
    <t xml:space="preserve">   • Google te va a preguntar cómo abrirlo. Elegí 'Abrir con Google Sheets'.</t>
  </si>
  <si>
    <t>mascarpone</t>
  </si>
  <si>
    <t>PASO 2 — Completá los datos de la receta</t>
  </si>
  <si>
    <t>cafe</t>
  </si>
  <si>
    <t>Especiales</t>
  </si>
  <si>
    <t>PASO 2 — Abrir el editor de script</t>
  </si>
  <si>
    <t xml:space="preserve">   • Abrí la hoja  🧮 CALCULADORA.</t>
  </si>
  <si>
    <t>Crema de leche</t>
  </si>
  <si>
    <t>LITRO</t>
  </si>
  <si>
    <t xml:space="preserve">   • Escribí el nombre de la receta, una descripción opcional y la cantidad de porciones o unidades que rinde.</t>
  </si>
  <si>
    <t xml:space="preserve">   • Con el archivo abierto en Google Sheets, andá a la barra de menú superior.</t>
  </si>
  <si>
    <t xml:space="preserve">Queso crema </t>
  </si>
  <si>
    <t xml:space="preserve">   • Hacé clic en 'Extensiones' (o 'Extensions' si está en inglés).</t>
  </si>
  <si>
    <t xml:space="preserve">   • La fecha se completa automáticamente.</t>
  </si>
  <si>
    <t>Mermelada</t>
  </si>
  <si>
    <t xml:space="preserve">   • Después clic en 'Apps Script'.</t>
  </si>
  <si>
    <t>PASO 3 — Cargá los ingredientes</t>
  </si>
  <si>
    <t xml:space="preserve">   • Se abre una pantalla nueva con código. Borrá todo lo que haya ahí (Ctrl+A, Delete).</t>
  </si>
  <si>
    <t>Cacao</t>
  </si>
  <si>
    <t xml:space="preserve">   • En la sección INGREDIENTES, hacé clic en la celda de la columna INGREDIENTE.</t>
  </si>
  <si>
    <t>Esencia de vainilla</t>
  </si>
  <si>
    <t>Esencias</t>
  </si>
  <si>
    <t xml:space="preserve">   • Elegí de la lista desplegable (los datos vienen de tu hoja de ingredientes).</t>
  </si>
  <si>
    <t>PASO 3 — Pegar el código</t>
  </si>
  <si>
    <t>leche</t>
  </si>
  <si>
    <t xml:space="preserve">   • En la columna CANTIDAD, escribí cuánto usás (en gramos, mililitros o unidades según corresponda).</t>
  </si>
  <si>
    <t xml:space="preserve">   • Abrí el archivo 'GuardarReceta_AppScript.gs' que descargaste junto con este archivo.</t>
  </si>
  <si>
    <t>Sal</t>
  </si>
  <si>
    <t xml:space="preserve">   • Seleccioná todo el texto (Ctrl+A) y copialo (Ctrl+C).</t>
  </si>
  <si>
    <t xml:space="preserve">   • El precio de referencia y el costo se calculan solos.</t>
  </si>
  <si>
    <t>Dulce de leche</t>
  </si>
  <si>
    <t>Rellenos</t>
  </si>
  <si>
    <t xml:space="preserve">   • Volvé al editor de Apps Script y pegá el código (Ctrl+V).</t>
  </si>
  <si>
    <t>Frutillas</t>
  </si>
  <si>
    <t>PASO 4 — Registrá la mano de obra</t>
  </si>
  <si>
    <t xml:space="preserve">   • Hacé clic en el ícono 💾 (Guardar proyecto) o Ctrl+S.</t>
  </si>
  <si>
    <t>Banana</t>
  </si>
  <si>
    <t xml:space="preserve">   • En la sección MANO DE OBRA, anotá el concepto (ej: 'Elaboración', 'Decoración').</t>
  </si>
  <si>
    <t>Frutos rojos</t>
  </si>
  <si>
    <t xml:space="preserve">   • Ingresá las horas dedicadas y el valor por hora.</t>
  </si>
  <si>
    <t>PASO 4 — Autorizar el script</t>
  </si>
  <si>
    <t xml:space="preserve">Manteca </t>
  </si>
  <si>
    <t xml:space="preserve">   • Si no querés incluir mano de obra, podés dejarlo vacío.</t>
  </si>
  <si>
    <t>Frutas</t>
  </si>
  <si>
    <t xml:space="preserve">   • En el editor de Apps Script, hacé clic en el botón '▶ Ejecutar' (el triángulo).</t>
  </si>
  <si>
    <t>Azúcar impalpable</t>
  </si>
  <si>
    <t xml:space="preserve">   • Asegurate de que la función seleccionada sea 'onOpen'.</t>
  </si>
  <si>
    <t>PASO 5 — Sumá packaging y gastos extras</t>
  </si>
  <si>
    <t>Limón</t>
  </si>
  <si>
    <t xml:space="preserve">   • Google te va a pedir que autorices el script. Hacé clic en 'Revisar permisos'.</t>
  </si>
  <si>
    <t xml:space="preserve">   • En PACKAGING Y GASTOS EXTRAS cargá cada gasto: cajas, cintas, envío, publicidad, etc.</t>
  </si>
  <si>
    <t>Nueces</t>
  </si>
  <si>
    <t xml:space="preserve">   • Elegí tu cuenta de Google → 'Avanzado' → 'Ir a (nombre del proyecto) (no seguro)' → 'Permitir'.</t>
  </si>
  <si>
    <t>Decoración</t>
  </si>
  <si>
    <t xml:space="preserve">   • Cada ítem suma automáticamente al total.</t>
  </si>
  <si>
    <t xml:space="preserve">   • ⚠️ Este aviso es normal para scripts personales — el código es tuyo y es seguro.</t>
  </si>
  <si>
    <t>Oreos</t>
  </si>
  <si>
    <t>Chocolinas</t>
  </si>
  <si>
    <t>Galletas</t>
  </si>
  <si>
    <t>Lincoln</t>
  </si>
  <si>
    <t>PASO 5 — ¡Listo! Cómo usar el menú</t>
  </si>
  <si>
    <t>basicos</t>
  </si>
  <si>
    <t>PASO 6 — Definí tu margen de ganancia</t>
  </si>
  <si>
    <t>Azucar mazcabo</t>
  </si>
  <si>
    <t xml:space="preserve">   • Cerrá el editor de Apps Script y volvé a tu planilla.</t>
  </si>
  <si>
    <t xml:space="preserve">   • En el RESUMEN, encontrás la celda '% Margen de ganancia deseado'.</t>
  </si>
  <si>
    <t>Fecula de Maiz</t>
  </si>
  <si>
    <t xml:space="preserve">   • Recargá la página (F5) o cerrá y volvé a abrir el archivo.</t>
  </si>
  <si>
    <t xml:space="preserve">   • Ingresá el porcentaje que querés ganar </t>
  </si>
  <si>
    <t>Coco Rayado</t>
  </si>
  <si>
    <t xml:space="preserve">   • En la barra de menú vas a ver un nuevo menú llamado '🧁 Recetas 360'.</t>
  </si>
  <si>
    <t xml:space="preserve">   • El precio de venta sugerido se calcula automáticamente.</t>
  </si>
  <si>
    <t xml:space="preserve">   • 💡 Recomendado: entre 50% y 100% según el tipo de producto y tu mercado.</t>
  </si>
  <si>
    <t xml:space="preserve">   • Desde ahí podés: guardar la receta actual, limpiar la calculadora, y más.</t>
  </si>
  <si>
    <t>Bicarbonato</t>
  </si>
  <si>
    <t>PASO 7 — Guardá la receta</t>
  </si>
  <si>
    <t xml:space="preserve">   • ¡Ya podés empezar a costear! 🎉</t>
  </si>
  <si>
    <t>Rocklets</t>
  </si>
  <si>
    <t xml:space="preserve">   • Una vez terminado el costeo, abrí la hoja  📚 RECETAS GUARDADAS.</t>
  </si>
  <si>
    <t>💡 Si cerrás y volvés a abrir el archivo en otro momento, el menú aparece solo. Solo necesitás configurarlo una vez.</t>
  </si>
  <si>
    <t>Mana</t>
  </si>
  <si>
    <t xml:space="preserve">   • Copiá los datos del resumen (nombre, fecha, costos, precio) y pegálos como valores en una nueva fila.</t>
  </si>
  <si>
    <t>Basicos</t>
  </si>
  <si>
    <t>Levadura</t>
  </si>
  <si>
    <t xml:space="preserve">   • Así tenés un historial de todas tus recetas y podés comparar cómo evolucionan los costos.</t>
  </si>
  <si>
    <t>harina leudante</t>
  </si>
  <si>
    <t>queso parmesano</t>
  </si>
  <si>
    <t xml:space="preserve">basicos </t>
  </si>
  <si>
    <t>galletitas maria</t>
  </si>
  <si>
    <t>chocolate blanco</t>
  </si>
  <si>
    <t>chocolate</t>
  </si>
  <si>
    <t>🌿  Este archivo es tuyo: podés adaptarlo, agregar ingredientes y personalizar los gastos a tu medida. ¡Mucho éxito con tu emprendimiento! 🧁</t>
  </si>
  <si>
    <t>Premezcla santa maria</t>
  </si>
  <si>
    <t>chocolate con leche</t>
  </si>
  <si>
    <t>Chocolate Alpino</t>
  </si>
  <si>
    <t>Cerezas Marrasquino</t>
  </si>
  <si>
    <t>Decoracion</t>
  </si>
  <si>
    <t>Azucar Granulada</t>
  </si>
  <si>
    <t>Crema ledevit</t>
  </si>
  <si>
    <t>decoracion</t>
  </si>
  <si>
    <t>🧁  CALCULADORA DE COSTOS</t>
  </si>
  <si>
    <t>Completá los datos de tu receta para conocer el costo real y el precio de venta sugerido.</t>
  </si>
  <si>
    <t>📋  DATOS DE LA RECETA</t>
  </si>
  <si>
    <t>Nombre de la receta:</t>
  </si>
  <si>
    <t>Chocotorta</t>
  </si>
  <si>
    <t>Descripción (opcional):</t>
  </si>
  <si>
    <t>Cantidad que rinde (porciones / unidades):</t>
  </si>
  <si>
    <t>Fecha:</t>
  </si>
  <si>
    <t>🥚  INGREDIENTES DE LA RECETA</t>
  </si>
  <si>
    <t>PRECIO REF.</t>
  </si>
  <si>
    <t>CANTIDAD</t>
  </si>
  <si>
    <t>COSTO</t>
  </si>
  <si>
    <t>por fa</t>
  </si>
  <si>
    <t>📚  RECETAS GUARDADAS</t>
  </si>
  <si>
    <t>Los precios de venta se actualizan automáticamente cuando modificás los precios en la hoja INGREDIENTES.</t>
  </si>
  <si>
    <t>NOMBRE DE RECETA</t>
  </si>
  <si>
    <t>FECHA</t>
  </si>
  <si>
    <t>PORCIONES</t>
  </si>
  <si>
    <t>COSTO INGREDIENTES</t>
  </si>
  <si>
    <t>COSTO MANO DE OBRA</t>
  </si>
  <si>
    <t>GASTOS EXTRAS</t>
  </si>
  <si>
    <t>COSTO TOTAL</t>
  </si>
  <si>
    <t>% MARGEN</t>
  </si>
  <si>
    <t>⭐ PRECIO DE VENTA</t>
  </si>
  <si>
    <t>⚙️  DETALLE TÉCNICO DE RECETAS GUARDADAS</t>
  </si>
  <si>
    <t>Esta hoja es el motor del sistema. Cada fila es un ingrediente de una receta guardada. Los precios se recalculan automáticamente cuando actualizás la hoja INGREDIENTES.</t>
  </si>
  <si>
    <t>ID RECETA</t>
  </si>
  <si>
    <t>MANO DE OBRA</t>
  </si>
  <si>
    <t>CONFIGURACIÓN</t>
  </si>
  <si>
    <t>N°</t>
  </si>
  <si>
    <t>SLOT</t>
  </si>
  <si>
    <t>MO CONCEPTO</t>
  </si>
  <si>
    <t>MO HORAS</t>
  </si>
  <si>
    <t>MO $/HORA</t>
  </si>
  <si>
    <t>GE CONCEPTO</t>
  </si>
  <si>
    <t>GE MONTO</t>
  </si>
  <si>
    <t>NOMBRE RECETA</t>
  </si>
  <si>
    <t>mano</t>
  </si>
  <si>
    <t>packaging - caja</t>
  </si>
  <si>
    <t xml:space="preserve">packaging - base chica </t>
  </si>
  <si>
    <t>SUBTOTAL INGREDIENTES</t>
  </si>
  <si>
    <t>👩‍🍳  MANO DE OBRA</t>
  </si>
  <si>
    <t>CONCEPTO</t>
  </si>
  <si>
    <t>HORAS</t>
  </si>
  <si>
    <t>$ x HORA</t>
  </si>
  <si>
    <t>SUBTOTAL MANO DE OBRA</t>
  </si>
  <si>
    <t>mano de obra</t>
  </si>
  <si>
    <t>plato</t>
  </si>
  <si>
    <t xml:space="preserve">flan </t>
  </si>
  <si>
    <t>Huevo</t>
  </si>
  <si>
    <t>📦  PACKAGING Y GASTOS EXTRAS</t>
  </si>
  <si>
    <t>TIPO DE GASTO</t>
  </si>
  <si>
    <t>CONCEPTO / DETALLE</t>
  </si>
  <si>
    <t>MONTO</t>
  </si>
  <si>
    <t>SUBTOTAL</t>
  </si>
  <si>
    <t>packaging</t>
  </si>
  <si>
    <t>caja</t>
  </si>
  <si>
    <t xml:space="preserve">base chica </t>
  </si>
  <si>
    <t>SUBTOTAL GASTOS EXTRAS</t>
  </si>
  <si>
    <t>💰  RESUMEN Y PRECIO DE VENTA</t>
  </si>
  <si>
    <t>molde</t>
  </si>
  <si>
    <t>Rosca de Pascua</t>
  </si>
  <si>
    <t>Costo en ingredientes</t>
  </si>
  <si>
    <t>Costo en mano de obra</t>
  </si>
  <si>
    <t>Packaging y gastos extras</t>
  </si>
  <si>
    <t>COSTO TOTAL DE PRODUCCIÓN</t>
  </si>
  <si>
    <t>manteca sancor</t>
  </si>
  <si>
    <t>Costo por porción / unidad</t>
  </si>
  <si>
    <t>% Margen de ganancia deseado:</t>
  </si>
  <si>
    <t>Ganancia en $</t>
  </si>
  <si>
    <t>azucar granulada</t>
  </si>
  <si>
    <t>⭐  PRECIO DE VENTA SUGERIDO</t>
  </si>
  <si>
    <t>Precio por porción / unidad</t>
  </si>
  <si>
    <t>💾  GUARDAR RECETA  →  Usá el menú  🧁 Recetas 360  en la barra superior o</t>
  </si>
  <si>
    <t>⚠️  Primero abrí este archivo en Google Sheets y configurá el script (ver hoja INSTRUCCIONES SETUP)</t>
  </si>
  <si>
    <t>Rosca de Pascua Rellena</t>
  </si>
  <si>
    <t>bolsita</t>
  </si>
  <si>
    <t>Huevo tableta Oreo</t>
  </si>
  <si>
    <t>Galletitas Oreo</t>
  </si>
  <si>
    <t>Huevo tableta Oreo Relleno</t>
  </si>
  <si>
    <t xml:space="preserve">Torta Browmie con Frutos Rojos </t>
  </si>
  <si>
    <t xml:space="preserve">bandeja </t>
  </si>
  <si>
    <t>packaging - bandeeja</t>
  </si>
  <si>
    <t>cheescke new york</t>
  </si>
  <si>
    <t>envio - uber</t>
  </si>
  <si>
    <t>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</si>
</sst>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 &quot;#,##0"/>
    <numFmt numFmtId="165" formatCode="d-m"/>
    <numFmt numFmtId="166" formatCode="dd/mm/yyyy"/>
    <numFmt numFmtId="167" formatCode="&quot;$ &quot;#,##0.00"/>
  </numFmts>
  <fonts count="32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4A2E1A"/>
      <name val="Calibri"/>
    </font>
    <font/>
    <font>
      <b/>
      <sz val="16.0"/>
      <color rgb="FFFFFFFF"/>
      <name val="Calibri"/>
    </font>
    <font>
      <b/>
      <sz val="15.0"/>
      <color rgb="FFFFFFFF"/>
      <name val="Calibri"/>
    </font>
    <font>
      <i/>
      <sz val="10.0"/>
      <color rgb="FF7A4F2E"/>
      <name val="Calibri"/>
    </font>
    <font>
      <i/>
      <sz val="10.0"/>
      <color rgb="FF4A2E1A"/>
      <name val="Calibri"/>
    </font>
    <font>
      <b/>
      <sz val="10.0"/>
      <color rgb="FFFFFFFF"/>
      <name val="Calibri"/>
    </font>
    <font>
      <b/>
      <sz val="13.0"/>
      <color rgb="FFFFFFFF"/>
      <name val="Calibri"/>
    </font>
    <font>
      <sz val="10.0"/>
      <color rgb="FF4A2E1A"/>
      <name val="Calibri"/>
    </font>
    <font>
      <b/>
      <color rgb="FF4A2E1A"/>
      <name val="Calibri"/>
    </font>
    <font>
      <color rgb="FF4A2E1A"/>
      <name val="Calibri"/>
    </font>
    <font>
      <u/>
      <sz val="11.0"/>
      <color rgb="FF4A2E1A"/>
      <name val="Calibri"/>
    </font>
    <font>
      <b/>
      <sz val="12.0"/>
      <color rgb="FFFFFFFF"/>
      <name val="Calibri"/>
    </font>
    <font>
      <b/>
      <sz val="13.0"/>
      <color rgb="FF4A2E1A"/>
      <name val="Calibri"/>
    </font>
    <font>
      <b/>
      <sz val="12.0"/>
      <color rgb="FF4A2E1A"/>
      <name val="Calibri"/>
    </font>
    <font>
      <i/>
      <sz val="10.0"/>
      <color rgb="FF2E7D32"/>
      <name val="Calibri"/>
    </font>
    <font>
      <b/>
      <sz val="10.0"/>
      <color rgb="FF4A2E1A"/>
      <name val="Calibri"/>
    </font>
    <font>
      <b/>
      <sz val="11.0"/>
      <color rgb="FFFFFFFF"/>
      <name val="Calibri"/>
    </font>
    <font>
      <b/>
      <color rgb="FFFFFFFF"/>
      <name val="Calibri"/>
    </font>
    <font>
      <sz val="10.0"/>
      <color rgb="FF7A4F2E"/>
      <name val="Calibri"/>
    </font>
    <font>
      <b/>
      <sz val="10.0"/>
      <color theme="1"/>
      <name val="Calibri"/>
    </font>
    <font>
      <sz val="6.0"/>
      <color rgb="FF4A2E1A"/>
      <name val="Calibri"/>
    </font>
    <font>
      <b/>
      <sz val="14.0"/>
      <color rgb="FFFFFFFF"/>
      <name val="Calibri"/>
    </font>
    <font>
      <i/>
      <sz val="9.0"/>
      <color rgb="FF4A2E1A"/>
      <name val="Calibri"/>
    </font>
    <font>
      <b/>
      <sz val="9.0"/>
      <color rgb="FFFFFFFF"/>
      <name val="Calibri"/>
    </font>
    <font>
      <b/>
      <sz val="9.0"/>
      <color rgb="FF4A2E1A"/>
      <name val="Calibri"/>
    </font>
    <font>
      <sz val="9.0"/>
      <color rgb="FF4A2E1A"/>
      <name val="Calibri"/>
    </font>
    <font>
      <sz val="9.0"/>
      <color rgb="FFBBBBBB"/>
      <name val="Calibri"/>
    </font>
    <font>
      <b/>
      <sz val="12.0"/>
      <color rgb="FFC17B5E"/>
      <name val="Calibri"/>
    </font>
    <font>
      <i/>
      <sz val="9.0"/>
      <color rgb="FF7A4F2E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DF6ED"/>
        <bgColor rgb="FFFDF6ED"/>
      </patternFill>
    </fill>
    <fill>
      <patternFill patternType="solid">
        <fgColor rgb="FFC17B5E"/>
        <bgColor rgb="FFC17B5E"/>
      </patternFill>
    </fill>
    <fill>
      <patternFill patternType="solid">
        <fgColor rgb="FF4A7C9E"/>
        <bgColor rgb="FF4A7C9E"/>
      </patternFill>
    </fill>
    <fill>
      <patternFill patternType="solid">
        <fgColor rgb="FFEDD9C0"/>
        <bgColor rgb="FFEDD9C0"/>
      </patternFill>
    </fill>
    <fill>
      <patternFill patternType="solid">
        <fgColor rgb="FFD0E4F0"/>
        <bgColor rgb="FFD0E4F0"/>
      </patternFill>
    </fill>
    <fill>
      <patternFill patternType="solid">
        <fgColor rgb="FFF5EDD8"/>
        <bgColor rgb="FFF5EDD8"/>
      </patternFill>
    </fill>
    <fill>
      <patternFill patternType="solid">
        <fgColor rgb="FFF9F4EE"/>
        <bgColor rgb="FFF9F4EE"/>
      </patternFill>
    </fill>
    <fill>
      <patternFill patternType="solid">
        <fgColor rgb="FFE8F0E4"/>
        <bgColor rgb="FFE8F0E4"/>
      </patternFill>
    </fill>
    <fill>
      <patternFill patternType="solid">
        <fgColor rgb="FFE8A98A"/>
        <bgColor rgb="FFE8A98A"/>
      </patternFill>
    </fill>
    <fill>
      <patternFill patternType="solid">
        <fgColor rgb="FFF0E8DC"/>
        <bgColor rgb="FFF0E8DC"/>
      </patternFill>
    </fill>
    <fill>
      <patternFill patternType="solid">
        <fgColor rgb="FFEDE8F5"/>
        <bgColor rgb="FFEDE8F5"/>
      </patternFill>
    </fill>
    <fill>
      <patternFill patternType="solid">
        <fgColor rgb="FFF5E8EC"/>
        <bgColor rgb="FFF5E8EC"/>
      </patternFill>
    </fill>
    <fill>
      <patternFill patternType="solid">
        <fgColor rgb="FFEAF0F5"/>
        <bgColor rgb="FFEAF0F5"/>
      </patternFill>
    </fill>
    <fill>
      <patternFill patternType="solid">
        <fgColor rgb="FFFFFFFF"/>
        <bgColor rgb="FFFFFFFF"/>
      </patternFill>
    </fill>
    <fill>
      <patternFill patternType="solid">
        <fgColor rgb="FF8FAF8A"/>
        <bgColor rgb="FF8FAF8A"/>
      </patternFill>
    </fill>
    <fill>
      <patternFill patternType="solid">
        <fgColor rgb="FFE8F5E9"/>
        <bgColor rgb="FFE8F5E9"/>
      </patternFill>
    </fill>
    <fill>
      <patternFill patternType="solid">
        <fgColor rgb="FFC8DDBC"/>
        <bgColor rgb="FFC8DDBC"/>
      </patternFill>
    </fill>
    <fill>
      <patternFill patternType="solid">
        <fgColor rgb="FFFFFAF3"/>
        <bgColor rgb="FFFFFAF3"/>
      </patternFill>
    </fill>
    <fill>
      <patternFill patternType="solid">
        <fgColor rgb="FFF7EDE0"/>
        <bgColor rgb="FFF7EDE0"/>
      </patternFill>
    </fill>
    <fill>
      <patternFill patternType="solid">
        <fgColor rgb="FFF5F0E8"/>
        <bgColor rgb="FFF5F0E8"/>
      </patternFill>
    </fill>
    <fill>
      <patternFill patternType="solid">
        <fgColor rgb="FFF0F5F0"/>
        <bgColor rgb="FFF0F5F0"/>
      </patternFill>
    </fill>
    <fill>
      <patternFill patternType="solid">
        <fgColor rgb="FFEFEFEF"/>
        <bgColor rgb="FFEFEFEF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C4A882"/>
      </left>
      <right style="thin">
        <color rgb="FFC4A882"/>
      </right>
      <top style="thin">
        <color rgb="FFC4A882"/>
      </top>
      <bottom style="thin">
        <color rgb="FFC4A882"/>
      </bottom>
    </border>
    <border>
      <left/>
      <top/>
      <bottom style="thin">
        <color rgb="FFC4A882"/>
      </bottom>
    </border>
    <border>
      <top/>
      <bottom style="thin">
        <color rgb="FFC4A882"/>
      </bottom>
    </border>
    <border>
      <right/>
      <top/>
      <bottom style="thin">
        <color rgb="FFC4A882"/>
      </bottom>
    </border>
    <border>
      <left style="thin">
        <color rgb="FFC4A882"/>
      </left>
      <top style="thin">
        <color rgb="FFC4A882"/>
      </top>
      <bottom style="thin">
        <color rgb="FFC4A882"/>
      </bottom>
    </border>
    <border>
      <top style="thin">
        <color rgb="FFC4A882"/>
      </top>
      <bottom style="thin">
        <color rgb="FFC4A882"/>
      </bottom>
    </border>
    <border>
      <right/>
      <top style="thin">
        <color rgb="FFC4A882"/>
      </top>
      <bottom style="thin">
        <color rgb="FFC4A882"/>
      </bottom>
    </border>
    <border>
      <left style="medium">
        <color rgb="FFC17B5E"/>
      </left>
      <right style="medium">
        <color rgb="FFC17B5E"/>
      </right>
      <top style="medium">
        <color rgb="FFC17B5E"/>
      </top>
      <bottom style="medium">
        <color rgb="FFC17B5E"/>
      </bottom>
    </border>
    <border>
      <left/>
      <right/>
      <top/>
      <bottom/>
    </border>
    <border>
      <right style="thin">
        <color rgb="FFC4A882"/>
      </right>
      <top style="thin">
        <color rgb="FFC4A882"/>
      </top>
      <bottom style="thin">
        <color rgb="FFC4A882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4" fillId="7" fontId="10" numFmtId="0" xfId="0" applyAlignment="1" applyBorder="1" applyFill="1" applyFont="1">
      <alignment horizontal="center" shrinkToFit="0" vertical="center" wrapText="1"/>
    </xf>
    <xf borderId="4" fillId="7" fontId="10" numFmtId="0" xfId="0" applyAlignment="1" applyBorder="1" applyFont="1">
      <alignment horizontal="left" vertical="center"/>
    </xf>
    <xf borderId="4" fillId="7" fontId="11" numFmtId="164" xfId="0" applyAlignment="1" applyBorder="1" applyFont="1" applyNumberFormat="1">
      <alignment horizontal="center" readingOrder="0" shrinkToFit="0" wrapText="1"/>
    </xf>
    <xf borderId="4" fillId="7" fontId="12" numFmtId="165" xfId="0" applyAlignment="1" applyBorder="1" applyFont="1" applyNumberFormat="1">
      <alignment horizontal="center" readingOrder="0" shrinkToFit="0" wrapText="1"/>
    </xf>
    <xf borderId="5" fillId="2" fontId="10" numFmtId="0" xfId="0" applyAlignment="1" applyBorder="1" applyFont="1">
      <alignment horizontal="left" shrinkToFit="0" vertical="center" wrapText="1"/>
    </xf>
    <xf borderId="4" fillId="8" fontId="10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8" fontId="10" numFmtId="0" xfId="0" applyAlignment="1" applyBorder="1" applyFont="1">
      <alignment horizontal="left" vertical="center"/>
    </xf>
    <xf borderId="4" fillId="8" fontId="11" numFmtId="164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readingOrder="0"/>
    </xf>
    <xf borderId="5" fillId="2" fontId="13" numFmtId="0" xfId="0" applyAlignment="1" applyBorder="1" applyFont="1">
      <alignment horizontal="left" shrinkToFit="0" vertical="center" wrapText="1"/>
    </xf>
    <xf borderId="4" fillId="8" fontId="12" numFmtId="165" xfId="0" applyAlignment="1" applyBorder="1" applyFont="1" applyNumberFormat="1">
      <alignment horizontal="center" readingOrder="0" shrinkToFit="0" wrapText="1"/>
    </xf>
    <xf borderId="4" fillId="9" fontId="10" numFmtId="0" xfId="0" applyAlignment="1" applyBorder="1" applyFill="1" applyFont="1">
      <alignment horizontal="center" shrinkToFit="0" vertical="center" wrapText="1"/>
    </xf>
    <xf borderId="4" fillId="9" fontId="10" numFmtId="0" xfId="0" applyAlignment="1" applyBorder="1" applyFont="1">
      <alignment horizontal="left" readingOrder="0" vertical="center"/>
    </xf>
    <xf borderId="4" fillId="9" fontId="11" numFmtId="164" xfId="0" applyAlignment="1" applyBorder="1" applyFont="1" applyNumberFormat="1">
      <alignment horizontal="center" readingOrder="0" shrinkToFit="0" wrapText="1"/>
    </xf>
    <xf borderId="5" fillId="2" fontId="2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horizontal="center" readingOrder="0" shrinkToFit="0" vertical="center" wrapText="1"/>
    </xf>
    <xf borderId="4" fillId="9" fontId="10" numFmtId="0" xfId="0" applyAlignment="1" applyBorder="1" applyFont="1">
      <alignment horizontal="left" vertical="center"/>
    </xf>
    <xf borderId="4" fillId="8" fontId="10" numFmtId="0" xfId="0" applyAlignment="1" applyBorder="1" applyFont="1">
      <alignment horizontal="left" readingOrder="0" vertical="center"/>
    </xf>
    <xf borderId="4" fillId="8" fontId="10" numFmtId="0" xfId="0" applyAlignment="1" applyBorder="1" applyFont="1">
      <alignment horizontal="center" readingOrder="0" shrinkToFit="0" vertical="center" wrapText="1"/>
    </xf>
    <xf borderId="4" fillId="7" fontId="10" numFmtId="0" xfId="0" applyAlignment="1" applyBorder="1" applyFont="1">
      <alignment horizontal="left" readingOrder="0" vertical="center"/>
    </xf>
    <xf borderId="4" fillId="7" fontId="10" numFmtId="0" xfId="0" applyAlignment="1" applyBorder="1" applyFont="1">
      <alignment horizontal="center" readingOrder="0" shrinkToFit="0" vertical="center" wrapText="1"/>
    </xf>
    <xf borderId="1" fillId="10" fontId="14" numFmtId="0" xfId="0" applyAlignment="1" applyBorder="1" applyFill="1" applyFont="1">
      <alignment horizontal="center" vertical="center"/>
    </xf>
    <xf borderId="1" fillId="10" fontId="9" numFmtId="0" xfId="0" applyAlignment="1" applyBorder="1" applyFont="1">
      <alignment horizontal="center" vertical="center"/>
    </xf>
    <xf borderId="4" fillId="8" fontId="12" numFmtId="165" xfId="0" applyAlignment="1" applyBorder="1" applyFont="1" applyNumberFormat="1">
      <alignment horizontal="center" shrinkToFit="0" wrapText="1"/>
    </xf>
    <xf borderId="4" fillId="11" fontId="10" numFmtId="0" xfId="0" applyAlignment="1" applyBorder="1" applyFill="1" applyFont="1">
      <alignment horizontal="center" shrinkToFit="0" vertical="center" wrapText="1"/>
    </xf>
    <xf borderId="4" fillId="11" fontId="10" numFmtId="0" xfId="0" applyAlignment="1" applyBorder="1" applyFont="1">
      <alignment horizontal="left" vertical="center"/>
    </xf>
    <xf borderId="4" fillId="11" fontId="11" numFmtId="164" xfId="0" applyAlignment="1" applyBorder="1" applyFont="1" applyNumberFormat="1">
      <alignment horizontal="center" readingOrder="0" shrinkToFit="0" wrapText="1"/>
    </xf>
    <xf borderId="4" fillId="7" fontId="12" numFmtId="165" xfId="0" applyAlignment="1" applyBorder="1" applyFont="1" applyNumberFormat="1">
      <alignment horizontal="center" shrinkToFit="0" wrapText="1"/>
    </xf>
    <xf borderId="4" fillId="12" fontId="10" numFmtId="0" xfId="0" applyAlignment="1" applyBorder="1" applyFill="1" applyFont="1">
      <alignment horizontal="center" shrinkToFit="0" vertical="center" wrapText="1"/>
    </xf>
    <xf borderId="4" fillId="12" fontId="10" numFmtId="0" xfId="0" applyAlignment="1" applyBorder="1" applyFont="1">
      <alignment horizontal="left" readingOrder="0" vertical="center"/>
    </xf>
    <xf borderId="4" fillId="12" fontId="11" numFmtId="164" xfId="0" applyAlignment="1" applyBorder="1" applyFont="1" applyNumberFormat="1">
      <alignment horizontal="center" readingOrder="0" shrinkToFit="0" wrapText="1"/>
    </xf>
    <xf borderId="4" fillId="12" fontId="10" numFmtId="0" xfId="0" applyAlignment="1" applyBorder="1" applyFont="1">
      <alignment horizontal="left" vertical="center"/>
    </xf>
    <xf borderId="1" fillId="5" fontId="15" numFmtId="0" xfId="0" applyAlignment="1" applyBorder="1" applyFont="1">
      <alignment horizontal="center" vertical="center"/>
    </xf>
    <xf borderId="4" fillId="13" fontId="10" numFmtId="0" xfId="0" applyAlignment="1" applyBorder="1" applyFill="1" applyFont="1">
      <alignment horizontal="center" shrinkToFit="0" vertical="center" wrapText="1"/>
    </xf>
    <xf borderId="4" fillId="13" fontId="12" numFmtId="0" xfId="0" applyAlignment="1" applyBorder="1" applyFont="1">
      <alignment readingOrder="0"/>
    </xf>
    <xf borderId="4" fillId="13" fontId="10" numFmtId="0" xfId="0" applyAlignment="1" applyBorder="1" applyFont="1">
      <alignment horizontal="center" readingOrder="0" shrinkToFit="0" vertical="center" wrapText="1"/>
    </xf>
    <xf borderId="4" fillId="13" fontId="10" numFmtId="0" xfId="0" applyAlignment="1" applyBorder="1" applyFont="1">
      <alignment horizontal="left" vertical="center"/>
    </xf>
    <xf borderId="1" fillId="5" fontId="16" numFmtId="0" xfId="0" applyAlignment="1" applyBorder="1" applyFont="1">
      <alignment horizontal="center" vertical="center"/>
    </xf>
    <xf borderId="4" fillId="8" fontId="12" numFmtId="0" xfId="0" applyAlignment="1" applyBorder="1" applyFont="1">
      <alignment readingOrder="0"/>
    </xf>
    <xf borderId="4" fillId="11" fontId="12" numFmtId="0" xfId="0" applyBorder="1" applyFont="1"/>
    <xf borderId="4" fillId="7" fontId="12" numFmtId="0" xfId="0" applyBorder="1" applyFont="1"/>
    <xf borderId="4" fillId="8" fontId="12" numFmtId="0" xfId="0" applyBorder="1" applyFont="1"/>
    <xf borderId="4" fillId="14" fontId="10" numFmtId="0" xfId="0" applyAlignment="1" applyBorder="1" applyFill="1" applyFont="1">
      <alignment horizontal="center" shrinkToFit="0" vertical="center" wrapText="1"/>
    </xf>
    <xf borderId="4" fillId="14" fontId="12" numFmtId="0" xfId="0" applyAlignment="1" applyBorder="1" applyFont="1">
      <alignment readingOrder="0"/>
    </xf>
    <xf borderId="4" fillId="14" fontId="11" numFmtId="164" xfId="0" applyAlignment="1" applyBorder="1" applyFont="1" applyNumberFormat="1">
      <alignment horizontal="center" readingOrder="0" shrinkToFit="0" wrapText="1"/>
    </xf>
    <xf borderId="4" fillId="14" fontId="10" numFmtId="0" xfId="0" applyAlignment="1" applyBorder="1" applyFont="1">
      <alignment horizontal="left" vertical="center"/>
    </xf>
    <xf borderId="4" fillId="15" fontId="10" numFmtId="0" xfId="0" applyAlignment="1" applyBorder="1" applyFill="1" applyFont="1">
      <alignment horizontal="center" shrinkToFit="0" vertical="center" wrapText="1"/>
    </xf>
    <xf borderId="4" fillId="15" fontId="10" numFmtId="0" xfId="0" applyAlignment="1" applyBorder="1" applyFont="1">
      <alignment horizontal="left" vertical="center"/>
    </xf>
    <xf borderId="1" fillId="16" fontId="9" numFmtId="0" xfId="0" applyAlignment="1" applyBorder="1" applyFill="1" applyFont="1">
      <alignment horizontal="center" vertical="center"/>
    </xf>
    <xf borderId="1" fillId="16" fontId="14" numFmtId="0" xfId="0" applyAlignment="1" applyBorder="1" applyFont="1">
      <alignment horizontal="center" vertical="center"/>
    </xf>
    <xf borderId="1" fillId="17" fontId="17" numFmtId="0" xfId="0" applyAlignment="1" applyBorder="1" applyFill="1" applyFont="1">
      <alignment horizontal="left" shrinkToFit="0" vertical="center" wrapText="1"/>
    </xf>
    <xf borderId="4" fillId="8" fontId="1" numFmtId="0" xfId="0" applyBorder="1" applyFont="1"/>
    <xf borderId="1" fillId="18" fontId="6" numFmtId="0" xfId="0" applyAlignment="1" applyBorder="1" applyFill="1" applyFont="1">
      <alignment horizontal="left" shrinkToFit="0" vertical="center" wrapText="1"/>
    </xf>
    <xf borderId="4" fillId="14" fontId="18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4" fillId="14" fontId="18" numFmtId="164" xfId="0" applyAlignment="1" applyBorder="1" applyFont="1" applyNumberFormat="1">
      <alignment horizontal="center" shrinkToFit="0" vertical="center" wrapText="1"/>
    </xf>
    <xf borderId="5" fillId="10" fontId="19" numFmtId="0" xfId="0" applyAlignment="1" applyBorder="1" applyFont="1">
      <alignment horizontal="center" vertical="center"/>
    </xf>
    <xf borderId="4" fillId="5" fontId="1" numFmtId="0" xfId="0" applyAlignment="1" applyBorder="1" applyFont="1">
      <alignment vertical="bottom"/>
    </xf>
    <xf borderId="4" fillId="5" fontId="18" numFmtId="0" xfId="0" applyAlignment="1" applyBorder="1" applyFont="1">
      <alignment horizontal="left" vertical="center"/>
    </xf>
    <xf borderId="8" fillId="19" fontId="12" numFmtId="0" xfId="0" applyAlignment="1" applyBorder="1" applyFill="1" applyFont="1">
      <alignment readingOrder="0"/>
    </xf>
    <xf borderId="9" fillId="0" fontId="3" numFmtId="0" xfId="0" applyBorder="1" applyFont="1"/>
    <xf borderId="10" fillId="0" fontId="3" numFmtId="0" xfId="0" applyBorder="1" applyFont="1"/>
    <xf borderId="8" fillId="19" fontId="10" numFmtId="0" xfId="0" applyAlignment="1" applyBorder="1" applyFont="1">
      <alignment horizontal="left" readingOrder="0" vertical="center"/>
    </xf>
    <xf borderId="8" fillId="19" fontId="10" numFmtId="166" xfId="0" applyAlignment="1" applyBorder="1" applyFont="1" applyNumberFormat="1">
      <alignment horizontal="left" vertical="center"/>
    </xf>
    <xf borderId="1" fillId="10" fontId="19" numFmtId="0" xfId="0" applyAlignment="1" applyBorder="1" applyFont="1">
      <alignment horizontal="center" vertical="center"/>
    </xf>
    <xf borderId="4" fillId="3" fontId="20" numFmtId="0" xfId="0" applyAlignment="1" applyBorder="1" applyFont="1">
      <alignment horizontal="center" shrinkToFit="0" wrapText="1"/>
    </xf>
    <xf borderId="4" fillId="5" fontId="21" numFmtId="0" xfId="0" applyAlignment="1" applyBorder="1" applyFont="1">
      <alignment horizontal="center" shrinkToFit="0" vertical="center" wrapText="1"/>
    </xf>
    <xf borderId="4" fillId="19" fontId="12" numFmtId="0" xfId="0" applyAlignment="1" applyBorder="1" applyFont="1">
      <alignment readingOrder="0"/>
    </xf>
    <xf borderId="4" fillId="5" fontId="6" numFmtId="164" xfId="0" applyAlignment="1" applyBorder="1" applyFont="1" applyNumberFormat="1">
      <alignment horizontal="center" readingOrder="0" shrinkToFit="0" vertical="center" wrapText="1"/>
    </xf>
    <xf borderId="4" fillId="19" fontId="12" numFmtId="3" xfId="0" applyAlignment="1" applyBorder="1" applyFont="1" applyNumberFormat="1">
      <alignment horizontal="center" readingOrder="0" shrinkToFit="0" wrapText="1"/>
    </xf>
    <xf borderId="4" fillId="5" fontId="6" numFmtId="0" xfId="0" applyAlignment="1" applyBorder="1" applyFont="1">
      <alignment horizontal="center" shrinkToFit="0" vertical="center" wrapText="1"/>
    </xf>
    <xf borderId="4" fillId="18" fontId="10" numFmtId="167" xfId="0" applyAlignment="1" applyBorder="1" applyFont="1" applyNumberFormat="1">
      <alignment horizontal="center" shrinkToFit="0" vertical="center" wrapText="1"/>
    </xf>
    <xf borderId="4" fillId="20" fontId="12" numFmtId="0" xfId="0" applyAlignment="1" applyBorder="1" applyFill="1" applyFont="1">
      <alignment readingOrder="0"/>
    </xf>
    <xf borderId="4" fillId="5" fontId="6" numFmtId="164" xfId="0" applyAlignment="1" applyBorder="1" applyFont="1" applyNumberFormat="1">
      <alignment horizontal="center" shrinkToFit="0" vertical="center" wrapText="1"/>
    </xf>
    <xf borderId="4" fillId="20" fontId="12" numFmtId="3" xfId="0" applyAlignment="1" applyBorder="1" applyFont="1" applyNumberFormat="1">
      <alignment horizontal="center" readingOrder="0" shrinkToFit="0" wrapText="1"/>
    </xf>
    <xf borderId="4" fillId="5" fontId="21" numFmtId="0" xfId="0" applyAlignment="1" applyBorder="1" applyFont="1">
      <alignment horizontal="center" readingOrder="0" shrinkToFit="0" vertical="center" wrapText="1"/>
    </xf>
    <xf borderId="4" fillId="19" fontId="12" numFmtId="0" xfId="0" applyAlignment="1" applyBorder="1" applyFont="1">
      <alignment horizontal="center" readingOrder="0" shrinkToFit="0" wrapText="1"/>
    </xf>
    <xf borderId="4" fillId="20" fontId="10" numFmtId="0" xfId="0" applyAlignment="1" applyBorder="1" applyFont="1">
      <alignment horizontal="left" readingOrder="0" vertical="center"/>
    </xf>
    <xf borderId="4" fillId="20" fontId="10" numFmtId="3" xfId="0" applyAlignment="1" applyBorder="1" applyFont="1" applyNumberFormat="1">
      <alignment horizontal="center" readingOrder="0" shrinkToFit="0" vertical="center" wrapText="1"/>
    </xf>
    <xf borderId="4" fillId="19" fontId="10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center"/>
    </xf>
    <xf borderId="4" fillId="19" fontId="10" numFmtId="3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4" fillId="5" fontId="18" numFmtId="0" xfId="0" applyAlignment="1" applyBorder="1" applyFont="1">
      <alignment horizontal="center" shrinkToFit="0" vertical="center" wrapText="1"/>
    </xf>
    <xf borderId="4" fillId="20" fontId="10" numFmtId="166" xfId="0" applyAlignment="1" applyBorder="1" applyFont="1" applyNumberFormat="1">
      <alignment readingOrder="0" shrinkToFit="0" vertical="center" wrapText="1"/>
    </xf>
    <xf borderId="4" fillId="20" fontId="10" numFmtId="0" xfId="0" applyAlignment="1" applyBorder="1" applyFont="1">
      <alignment horizontal="center" shrinkToFit="0" vertical="center" wrapText="1"/>
    </xf>
    <xf borderId="4" fillId="18" fontId="10" numFmtId="167" xfId="0" applyAlignment="1" applyBorder="1" applyFont="1" applyNumberFormat="1">
      <alignment readingOrder="0" shrinkToFit="0" vertical="center" wrapText="1"/>
    </xf>
    <xf borderId="4" fillId="16" fontId="8" numFmtId="167" xfId="0" applyAlignment="1" applyBorder="1" applyFont="1" applyNumberFormat="1">
      <alignment readingOrder="0" shrinkToFit="0" vertical="center" wrapText="1"/>
    </xf>
    <xf borderId="4" fillId="20" fontId="10" numFmtId="10" xfId="0" applyAlignment="1" applyBorder="1" applyFont="1" applyNumberFormat="1">
      <alignment readingOrder="0" shrinkToFit="0" vertical="center" wrapText="1"/>
    </xf>
    <xf borderId="11" fillId="16" fontId="19" numFmtId="167" xfId="0" applyAlignment="1" applyBorder="1" applyFont="1" applyNumberFormat="1">
      <alignment readingOrder="0" shrinkToFit="0" vertical="center" wrapText="1"/>
    </xf>
    <xf borderId="4" fillId="20" fontId="10" numFmtId="0" xfId="0" applyAlignment="1" applyBorder="1" applyFont="1">
      <alignment horizontal="left" vertical="center"/>
    </xf>
    <xf borderId="4" fillId="19" fontId="10" numFmtId="0" xfId="0" applyAlignment="1" applyBorder="1" applyFont="1">
      <alignment horizontal="center" readingOrder="0" shrinkToFit="0" vertical="center" wrapText="1"/>
    </xf>
    <xf borderId="4" fillId="20" fontId="10" numFmtId="166" xfId="0" applyAlignment="1" applyBorder="1" applyFont="1" applyNumberFormat="1">
      <alignment shrinkToFit="0" vertical="center" wrapText="1"/>
    </xf>
    <xf borderId="4" fillId="18" fontId="10" numFmtId="167" xfId="0" applyAlignment="1" applyBorder="1" applyFont="1" applyNumberFormat="1">
      <alignment shrinkToFit="0" vertical="center" wrapText="1"/>
    </xf>
    <xf borderId="4" fillId="16" fontId="8" numFmtId="167" xfId="0" applyAlignment="1" applyBorder="1" applyFont="1" applyNumberFormat="1">
      <alignment shrinkToFit="0" vertical="center" wrapText="1"/>
    </xf>
    <xf borderId="4" fillId="20" fontId="10" numFmtId="10" xfId="0" applyAlignment="1" applyBorder="1" applyFont="1" applyNumberFormat="1">
      <alignment shrinkToFit="0" vertical="center" wrapText="1"/>
    </xf>
    <xf borderId="11" fillId="16" fontId="19" numFmtId="167" xfId="0" applyAlignment="1" applyBorder="1" applyFont="1" applyNumberFormat="1">
      <alignment shrinkToFit="0" vertical="center" wrapText="1"/>
    </xf>
    <xf borderId="4" fillId="20" fontId="10" numFmtId="0" xfId="0" applyAlignment="1" applyBorder="1" applyFont="1">
      <alignment horizontal="center" readingOrder="0" shrinkToFit="0" vertical="center" wrapText="1"/>
    </xf>
    <xf borderId="4" fillId="19" fontId="23" numFmtId="0" xfId="0" applyAlignment="1" applyBorder="1" applyFont="1">
      <alignment horizontal="center" readingOrder="0" shrinkToFit="0" vertical="center" wrapText="1"/>
    </xf>
    <xf borderId="4" fillId="19" fontId="10" numFmtId="0" xfId="0" applyAlignment="1" applyBorder="1" applyFont="1">
      <alignment horizontal="left" vertical="center"/>
    </xf>
    <xf borderId="4" fillId="19" fontId="10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vertical="center"/>
    </xf>
    <xf borderId="12" fillId="4" fontId="24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shrinkToFit="0" vertical="center" wrapText="1"/>
    </xf>
    <xf borderId="12" fillId="6" fontId="2" numFmtId="0" xfId="0" applyAlignment="1" applyBorder="1" applyFont="1">
      <alignment horizontal="center" vertical="center"/>
    </xf>
    <xf borderId="12" fillId="4" fontId="26" numFmtId="0" xfId="0" applyAlignment="1" applyBorder="1" applyFont="1">
      <alignment horizontal="center" vertical="center"/>
    </xf>
    <xf borderId="12" fillId="3" fontId="26" numFmtId="0" xfId="0" applyAlignment="1" applyBorder="1" applyFont="1">
      <alignment horizontal="center" vertical="center"/>
    </xf>
    <xf borderId="12" fillId="10" fontId="26" numFmtId="0" xfId="0" applyAlignment="1" applyBorder="1" applyFont="1">
      <alignment horizontal="center" vertical="center"/>
    </xf>
    <xf borderId="12" fillId="16" fontId="26" numFmtId="0" xfId="0" applyAlignment="1" applyBorder="1" applyFont="1">
      <alignment horizontal="center" vertical="center"/>
    </xf>
    <xf borderId="4" fillId="4" fontId="26" numFmtId="0" xfId="0" applyAlignment="1" applyBorder="1" applyFont="1">
      <alignment horizontal="center" shrinkToFit="0" vertical="center" wrapText="1"/>
    </xf>
    <xf borderId="4" fillId="3" fontId="26" numFmtId="0" xfId="0" applyAlignment="1" applyBorder="1" applyFont="1">
      <alignment horizontal="center" shrinkToFit="0" vertical="center" wrapText="1"/>
    </xf>
    <xf borderId="4" fillId="10" fontId="26" numFmtId="0" xfId="0" applyAlignment="1" applyBorder="1" applyFont="1">
      <alignment horizontal="center" shrinkToFit="0" vertical="center" wrapText="1"/>
    </xf>
    <xf borderId="4" fillId="16" fontId="26" numFmtId="0" xfId="0" applyAlignment="1" applyBorder="1" applyFont="1">
      <alignment horizontal="center" shrinkToFit="0" vertical="center" wrapText="1"/>
    </xf>
    <xf borderId="4" fillId="5" fontId="27" numFmtId="0" xfId="0" applyAlignment="1" applyBorder="1" applyFont="1">
      <alignment horizontal="center" readingOrder="0" shrinkToFit="0" vertical="center" wrapText="1"/>
    </xf>
    <xf borderId="4" fillId="5" fontId="28" numFmtId="0" xfId="0" applyAlignment="1" applyBorder="1" applyFont="1">
      <alignment horizontal="center" readingOrder="0" shrinkToFit="0" vertical="center" wrapText="1"/>
    </xf>
    <xf borderId="4" fillId="19" fontId="28" numFmtId="0" xfId="0" applyAlignment="1" applyBorder="1" applyFont="1">
      <alignment horizontal="center" readingOrder="0" shrinkToFit="0" vertical="center" wrapText="1"/>
    </xf>
    <xf borderId="4" fillId="19" fontId="28" numFmtId="0" xfId="0" applyAlignment="1" applyBorder="1" applyFont="1">
      <alignment horizontal="center" readingOrder="0" shrinkToFit="0" vertical="center" wrapText="1"/>
    </xf>
    <xf borderId="4" fillId="21" fontId="28" numFmtId="0" xfId="0" applyAlignment="1" applyBorder="1" applyFill="1" applyFont="1">
      <alignment horizontal="center" readingOrder="0" shrinkToFit="0" vertical="center" wrapText="1"/>
    </xf>
    <xf borderId="4" fillId="21" fontId="28" numFmtId="0" xfId="0" applyAlignment="1" applyBorder="1" applyFont="1">
      <alignment horizontal="center" readingOrder="0" shrinkToFit="0" vertical="center" wrapText="1"/>
    </xf>
    <xf borderId="4" fillId="22" fontId="28" numFmtId="0" xfId="0" applyAlignment="1" applyBorder="1" applyFill="1" applyFont="1">
      <alignment horizontal="center" readingOrder="0" shrinkToFit="0" vertical="center" wrapText="1"/>
    </xf>
    <xf borderId="4" fillId="22" fontId="28" numFmtId="0" xfId="0" applyAlignment="1" applyBorder="1" applyFont="1">
      <alignment horizontal="center" readingOrder="0" shrinkToFit="0" vertical="center" wrapText="1"/>
    </xf>
    <xf borderId="4" fillId="18" fontId="28" numFmtId="9" xfId="0" applyAlignment="1" applyBorder="1" applyFont="1" applyNumberFormat="1">
      <alignment horizontal="center" readingOrder="0" shrinkToFit="0" vertical="center" wrapText="1"/>
    </xf>
    <xf borderId="4" fillId="18" fontId="28" numFmtId="0" xfId="0" applyAlignment="1" applyBorder="1" applyFont="1">
      <alignment horizontal="center" shrinkToFit="0" vertical="center" wrapText="1"/>
    </xf>
    <xf borderId="4" fillId="19" fontId="28" numFmtId="166" xfId="0" applyAlignment="1" applyBorder="1" applyFont="1" applyNumberFormat="1">
      <alignment horizontal="center" readingOrder="0" shrinkToFit="0" vertical="center" wrapText="1"/>
    </xf>
    <xf borderId="4" fillId="20" fontId="28" numFmtId="0" xfId="0" applyAlignment="1" applyBorder="1" applyFont="1">
      <alignment horizontal="center" readingOrder="0" shrinkToFit="0" vertical="center" wrapText="1"/>
    </xf>
    <xf borderId="4" fillId="20" fontId="28" numFmtId="0" xfId="0" applyAlignment="1" applyBorder="1" applyFont="1">
      <alignment horizontal="center" readingOrder="0" shrinkToFit="0" vertical="center" wrapText="1"/>
    </xf>
    <xf borderId="4" fillId="21" fontId="28" numFmtId="0" xfId="0" applyAlignment="1" applyBorder="1" applyFont="1">
      <alignment horizontal="center" shrinkToFit="0" vertical="center" wrapText="1"/>
    </xf>
    <xf borderId="4" fillId="23" fontId="29" numFmtId="0" xfId="0" applyAlignment="1" applyBorder="1" applyFill="1" applyFont="1">
      <alignment horizontal="center" shrinkToFit="0" vertical="center" wrapText="1"/>
    </xf>
    <xf borderId="4" fillId="23" fontId="1" numFmtId="0" xfId="0" applyAlignment="1" applyBorder="1" applyFont="1">
      <alignment vertical="bottom"/>
    </xf>
    <xf borderId="4" fillId="5" fontId="21" numFmtId="0" xfId="0" applyAlignment="1" applyBorder="1" applyFont="1">
      <alignment horizontal="center" vertical="center"/>
    </xf>
    <xf borderId="4" fillId="19" fontId="10" numFmtId="0" xfId="0" applyAlignment="1" applyBorder="1" applyFont="1">
      <alignment horizontal="center" vertical="center"/>
    </xf>
    <xf borderId="4" fillId="18" fontId="10" numFmtId="0" xfId="0" applyAlignment="1" applyBorder="1" applyFont="1">
      <alignment horizontal="center" vertical="center"/>
    </xf>
    <xf borderId="4" fillId="22" fontId="28" numFmtId="0" xfId="0" applyAlignment="1" applyBorder="1" applyFont="1">
      <alignment horizontal="center" shrinkToFit="0" vertical="center" wrapText="1"/>
    </xf>
    <xf borderId="4" fillId="20" fontId="28" numFmtId="0" xfId="0" applyAlignment="1" applyBorder="1" applyFont="1">
      <alignment horizontal="center" shrinkToFit="0" vertical="center" wrapText="1"/>
    </xf>
    <xf borderId="4" fillId="20" fontId="10" numFmtId="0" xfId="0" applyAlignment="1" applyBorder="1" applyFont="1">
      <alignment horizontal="center" vertical="center"/>
    </xf>
    <xf borderId="4" fillId="19" fontId="28" numFmtId="0" xfId="0" applyAlignment="1" applyBorder="1" applyFont="1">
      <alignment horizontal="center" shrinkToFit="0" vertical="center" wrapText="1"/>
    </xf>
    <xf borderId="4" fillId="18" fontId="28" numFmtId="9" xfId="0" applyAlignment="1" applyBorder="1" applyFont="1" applyNumberFormat="1">
      <alignment horizontal="center" shrinkToFit="0" vertical="center" wrapText="1"/>
    </xf>
    <xf borderId="4" fillId="19" fontId="28" numFmtId="166" xfId="0" applyAlignment="1" applyBorder="1" applyFont="1" applyNumberFormat="1">
      <alignment horizontal="center" shrinkToFit="0" vertical="center" wrapText="1"/>
    </xf>
    <xf borderId="1" fillId="16" fontId="19" numFmtId="0" xfId="0" applyAlignment="1" applyBorder="1" applyFont="1">
      <alignment horizontal="center" vertical="center"/>
    </xf>
    <xf borderId="4" fillId="16" fontId="19" numFmtId="167" xfId="0" applyAlignment="1" applyBorder="1" applyFont="1" applyNumberFormat="1">
      <alignment horizontal="center" shrinkToFit="0" vertical="center" wrapText="1"/>
    </xf>
    <xf borderId="4" fillId="5" fontId="27" numFmtId="0" xfId="0" applyAlignment="1" applyBorder="1" applyFont="1">
      <alignment horizontal="center" shrinkToFit="0" vertical="center" wrapText="1"/>
    </xf>
    <xf borderId="4" fillId="5" fontId="28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8" fillId="20" fontId="10" numFmtId="0" xfId="0" applyAlignment="1" applyBorder="1" applyFont="1">
      <alignment horizontal="left" vertical="center"/>
    </xf>
    <xf borderId="8" fillId="19" fontId="10" numFmtId="0" xfId="0" applyAlignment="1" applyBorder="1" applyFont="1">
      <alignment horizontal="left" vertical="center"/>
    </xf>
    <xf borderId="4" fillId="18" fontId="28" numFmtId="0" xfId="0" applyAlignment="1" applyBorder="1" applyFont="1">
      <alignment horizontal="center" readingOrder="0" shrinkToFit="0" vertical="center" wrapText="1"/>
    </xf>
    <xf borderId="4" fillId="18" fontId="10" numFmtId="167" xfId="0" applyAlignment="1" applyBorder="1" applyFont="1" applyNumberFormat="1">
      <alignment horizontal="center" readingOrder="0" shrinkToFit="0" vertical="center" wrapText="1"/>
    </xf>
    <xf borderId="8" fillId="20" fontId="10" numFmtId="0" xfId="0" applyAlignment="1" applyBorder="1" applyFont="1">
      <alignment horizontal="left" readingOrder="0" vertical="center"/>
    </xf>
    <xf borderId="1" fillId="5" fontId="10" numFmtId="0" xfId="0" applyAlignment="1" applyBorder="1" applyFont="1">
      <alignment horizontal="center" vertical="center"/>
    </xf>
    <xf borderId="4" fillId="18" fontId="2" numFmtId="167" xfId="0" applyAlignment="1" applyBorder="1" applyFont="1" applyNumberFormat="1">
      <alignment horizontal="center" shrinkToFit="0" vertical="center" wrapText="1"/>
    </xf>
    <xf borderId="1" fillId="3" fontId="19" numFmtId="0" xfId="0" applyAlignment="1" applyBorder="1" applyFont="1">
      <alignment horizontal="center" vertical="center"/>
    </xf>
    <xf borderId="4" fillId="3" fontId="19" numFmtId="167" xfId="0" applyAlignment="1" applyBorder="1" applyFont="1" applyNumberFormat="1">
      <alignment horizontal="center" shrinkToFit="0" vertical="center" wrapText="1"/>
    </xf>
    <xf borderId="1" fillId="5" fontId="18" numFmtId="0" xfId="0" applyAlignment="1" applyBorder="1" applyFont="1">
      <alignment horizontal="center" vertical="center"/>
    </xf>
    <xf borderId="8" fillId="19" fontId="30" numFmtId="9" xfId="0" applyAlignment="1" applyBorder="1" applyFont="1" applyNumberFormat="1">
      <alignment horizontal="center" readingOrder="0" shrinkToFit="0" vertical="center" wrapText="1"/>
    </xf>
    <xf borderId="11" fillId="16" fontId="24" numFmtId="167" xfId="0" applyAlignment="1" applyBorder="1" applyFont="1" applyNumberFormat="1">
      <alignment horizontal="center" shrinkToFit="0" vertical="center" wrapText="1"/>
    </xf>
    <xf borderId="4" fillId="18" fontId="18" numFmtId="167" xfId="0" applyAlignment="1" applyBorder="1" applyFont="1" applyNumberFormat="1">
      <alignment horizontal="center" shrinkToFit="0" vertical="center" wrapText="1"/>
    </xf>
    <xf borderId="1" fillId="16" fontId="14" numFmtId="0" xfId="0" applyAlignment="1" applyBorder="1" applyFont="1">
      <alignment horizontal="center" readingOrder="0" vertical="center"/>
    </xf>
    <xf borderId="1" fillId="5" fontId="31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4" fillId="20" fontId="10" numFmtId="166" xfId="0" applyAlignment="1" applyBorder="1" applyFont="1" applyNumberFormat="1">
      <alignment horizontal="center" shrinkToFit="0" vertical="center" wrapText="1"/>
    </xf>
    <xf borderId="4" fillId="16" fontId="8" numFmtId="167" xfId="0" applyAlignment="1" applyBorder="1" applyFont="1" applyNumberFormat="1">
      <alignment horizontal="center" shrinkToFit="0" vertical="center" wrapText="1"/>
    </xf>
    <xf borderId="4" fillId="20" fontId="10" numFmtId="9" xfId="0" applyAlignment="1" applyBorder="1" applyFont="1" applyNumberFormat="1">
      <alignment horizontal="center" shrinkToFit="0" vertical="center" wrapText="1"/>
    </xf>
    <xf borderId="11" fillId="16" fontId="19" numFmtId="167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rive.googl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7C9E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0.0"/>
    <col customWidth="1" min="3" max="3" width="20.0"/>
    <col customWidth="1" min="4" max="6" width="8.71"/>
  </cols>
  <sheetData>
    <row r="1">
      <c r="A1" s="2"/>
      <c r="B1" s="3"/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75" customHeight="1">
      <c r="A2" s="6" t="s">
        <v>1</v>
      </c>
      <c r="B2" s="3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8" t="s">
        <v>4</v>
      </c>
      <c r="B3" s="3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3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2" t="s">
        <v>13</v>
      </c>
      <c r="B5" s="3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24" t="s">
        <v>18</v>
      </c>
      <c r="B6" s="19"/>
      <c r="C6" s="2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29" t="s">
        <v>24</v>
      </c>
      <c r="B7" s="19"/>
      <c r="C7" s="2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29" t="s">
        <v>27</v>
      </c>
      <c r="B8" s="19"/>
      <c r="C8" s="2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29" t="s">
        <v>30</v>
      </c>
      <c r="B9" s="19"/>
      <c r="C9" s="2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.5" customHeight="1">
      <c r="A10" s="2"/>
      <c r="B10" s="3"/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37" t="s">
        <v>35</v>
      </c>
      <c r="B11" s="3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29" t="s">
        <v>40</v>
      </c>
      <c r="B12" s="19"/>
      <c r="C12" s="2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29" t="s">
        <v>42</v>
      </c>
      <c r="B13" s="19"/>
      <c r="C13" s="2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29" t="s">
        <v>45</v>
      </c>
      <c r="B14" s="19"/>
      <c r="C14" s="2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29" t="s">
        <v>47</v>
      </c>
      <c r="B15" s="19"/>
      <c r="C15" s="2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.5" customHeight="1">
      <c r="A16" s="2"/>
      <c r="B16" s="3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47" t="s">
        <v>53</v>
      </c>
      <c r="B17" s="3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29" t="s">
        <v>56</v>
      </c>
      <c r="B18" s="19"/>
      <c r="C18" s="2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29" t="s">
        <v>58</v>
      </c>
      <c r="B19" s="19"/>
      <c r="C19" s="2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29" t="s">
        <v>62</v>
      </c>
      <c r="B20" s="19"/>
      <c r="C20" s="2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29" t="s">
        <v>65</v>
      </c>
      <c r="B21" s="19"/>
      <c r="C21" s="2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7.5" customHeight="1">
      <c r="A22" s="2"/>
      <c r="B22" s="3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47" t="s">
        <v>70</v>
      </c>
      <c r="B23" s="3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29" t="s">
        <v>74</v>
      </c>
      <c r="B24" s="19"/>
      <c r="C24" s="2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29" t="s">
        <v>76</v>
      </c>
      <c r="B25" s="19"/>
      <c r="C25" s="2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29" t="s">
        <v>79</v>
      </c>
      <c r="B26" s="19"/>
      <c r="C26" s="2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29" t="s">
        <v>82</v>
      </c>
      <c r="B27" s="19"/>
      <c r="C27" s="2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29" t="s">
        <v>85</v>
      </c>
      <c r="B28" s="19"/>
      <c r="C28" s="2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.5" customHeight="1">
      <c r="A29" s="2"/>
      <c r="B29" s="3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63" t="s">
        <v>90</v>
      </c>
      <c r="B30" s="3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29" t="s">
        <v>94</v>
      </c>
      <c r="B31" s="19"/>
      <c r="C31" s="2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29" t="s">
        <v>97</v>
      </c>
      <c r="B32" s="19"/>
      <c r="C32" s="2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29" t="s">
        <v>100</v>
      </c>
      <c r="B33" s="19"/>
      <c r="C33" s="2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29" t="s">
        <v>103</v>
      </c>
      <c r="B34" s="19"/>
      <c r="C34" s="2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29" t="s">
        <v>106</v>
      </c>
      <c r="B35" s="19"/>
      <c r="C35" s="2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7.5" customHeight="1">
      <c r="A36" s="2"/>
      <c r="B36" s="3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65" t="s">
        <v>109</v>
      </c>
      <c r="B37" s="3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7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6:C36"/>
    <mergeCell ref="A37:C37"/>
    <mergeCell ref="A29:C29"/>
    <mergeCell ref="A30:C30"/>
    <mergeCell ref="A31:C31"/>
    <mergeCell ref="A32:C32"/>
    <mergeCell ref="A33:C33"/>
    <mergeCell ref="A34:C34"/>
    <mergeCell ref="A35:C35"/>
  </mergeCells>
  <hyperlinks>
    <hyperlink r:id="rId1" ref="A6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B896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72.0"/>
    <col customWidth="1" min="3" max="3" width="14.0"/>
    <col customWidth="1" min="4" max="6" width="8.71"/>
  </cols>
  <sheetData>
    <row r="1" ht="15.0" customHeight="1">
      <c r="A1" s="2"/>
      <c r="B1" s="3"/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75" customHeight="1">
      <c r="A2" s="5" t="s">
        <v>2</v>
      </c>
      <c r="B2" s="3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7" t="s">
        <v>5</v>
      </c>
      <c r="B3" s="3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9"/>
      <c r="B4" s="3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2" t="s">
        <v>15</v>
      </c>
      <c r="B5" s="3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7" t="s">
        <v>19</v>
      </c>
      <c r="B6" s="19"/>
      <c r="C6" s="20"/>
      <c r="D6" s="1"/>
      <c r="E6" s="1"/>
      <c r="F6" s="1"/>
      <c r="G6" s="1"/>
      <c r="H6" s="23" t="s">
        <v>21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7" t="s">
        <v>22</v>
      </c>
      <c r="B7" s="19"/>
      <c r="C7" s="2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7" t="s">
        <v>26</v>
      </c>
      <c r="B8" s="19"/>
      <c r="C8" s="2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7" t="s">
        <v>29</v>
      </c>
      <c r="B9" s="19"/>
      <c r="C9" s="2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.5" customHeight="1">
      <c r="A10" s="2"/>
      <c r="B10" s="3"/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36" t="s">
        <v>32</v>
      </c>
      <c r="B11" s="3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7" t="s">
        <v>36</v>
      </c>
      <c r="B12" s="19"/>
      <c r="C12" s="2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7" t="s">
        <v>39</v>
      </c>
      <c r="B13" s="19"/>
      <c r="C13" s="2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7" t="s">
        <v>43</v>
      </c>
      <c r="B14" s="19"/>
      <c r="C14" s="2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.5" customHeight="1">
      <c r="A15" s="2"/>
      <c r="B15" s="3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36" t="s">
        <v>46</v>
      </c>
      <c r="B16" s="3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7" t="s">
        <v>49</v>
      </c>
      <c r="B17" s="19"/>
      <c r="C17" s="2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7" t="s">
        <v>52</v>
      </c>
      <c r="B18" s="19"/>
      <c r="C18" s="2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7" t="s">
        <v>55</v>
      </c>
      <c r="B19" s="19"/>
      <c r="C19" s="2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7" t="s">
        <v>59</v>
      </c>
      <c r="B20" s="19"/>
      <c r="C20" s="2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7.5" customHeight="1">
      <c r="A21" s="2"/>
      <c r="B21" s="3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52" t="s">
        <v>64</v>
      </c>
      <c r="B22" s="3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7" t="s">
        <v>67</v>
      </c>
      <c r="B23" s="19"/>
      <c r="C23" s="2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7" t="s">
        <v>69</v>
      </c>
      <c r="B24" s="19"/>
      <c r="C24" s="2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7" t="s">
        <v>72</v>
      </c>
      <c r="B25" s="19"/>
      <c r="C25" s="2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.5" customHeight="1">
      <c r="A26" s="2"/>
      <c r="B26" s="3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52" t="s">
        <v>77</v>
      </c>
      <c r="B27" s="3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7" t="s">
        <v>80</v>
      </c>
      <c r="B28" s="19"/>
      <c r="C28" s="2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7" t="s">
        <v>84</v>
      </c>
      <c r="B29" s="19"/>
      <c r="C29" s="2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7.5" customHeight="1">
      <c r="A30" s="2"/>
      <c r="B30" s="3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52" t="s">
        <v>92</v>
      </c>
      <c r="B31" s="3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7" t="s">
        <v>95</v>
      </c>
      <c r="B32" s="19"/>
      <c r="C32" s="2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7" t="s">
        <v>98</v>
      </c>
      <c r="B33" s="19"/>
      <c r="C33" s="2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7" t="s">
        <v>101</v>
      </c>
      <c r="B34" s="19"/>
      <c r="C34" s="2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7" t="s">
        <v>102</v>
      </c>
      <c r="B35" s="19"/>
      <c r="C35" s="2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7.5" customHeight="1">
      <c r="A36" s="2"/>
      <c r="B36" s="3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64" t="s">
        <v>105</v>
      </c>
      <c r="B37" s="3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7" t="s">
        <v>108</v>
      </c>
      <c r="B38" s="19"/>
      <c r="C38" s="2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7" t="s">
        <v>111</v>
      </c>
      <c r="B39" s="19"/>
      <c r="C39" s="2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7" t="s">
        <v>114</v>
      </c>
      <c r="B40" s="19"/>
      <c r="C40" s="2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7.5" customHeight="1">
      <c r="A41" s="2"/>
      <c r="B41" s="3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67" t="s">
        <v>121</v>
      </c>
      <c r="B42" s="3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9"/>
      <c r="B43" s="69"/>
      <c r="C43" s="6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69"/>
      <c r="B44" s="69"/>
      <c r="C44" s="6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69"/>
      <c r="B45" s="69"/>
      <c r="C45" s="6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69"/>
      <c r="B46" s="69"/>
      <c r="C46" s="6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69"/>
      <c r="B47" s="69"/>
      <c r="C47" s="6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69"/>
      <c r="B48" s="69"/>
      <c r="C48" s="6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69"/>
      <c r="B49" s="69"/>
      <c r="C49" s="6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69"/>
      <c r="B50" s="69"/>
      <c r="C50" s="6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69"/>
      <c r="B51" s="69"/>
      <c r="C51" s="6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69"/>
      <c r="B52" s="69"/>
      <c r="C52" s="6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9"/>
      <c r="B53" s="69"/>
      <c r="C53" s="6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69"/>
      <c r="B54" s="69"/>
      <c r="C54" s="6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69"/>
      <c r="B55" s="69"/>
      <c r="C55" s="6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69"/>
      <c r="B56" s="69"/>
      <c r="C56" s="6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9"/>
      <c r="B57" s="69"/>
      <c r="C57" s="6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69"/>
      <c r="B58" s="69"/>
      <c r="C58" s="6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69"/>
      <c r="B59" s="69"/>
      <c r="C59" s="6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69"/>
      <c r="B60" s="69"/>
      <c r="C60" s="6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69"/>
      <c r="B61" s="69"/>
      <c r="C61" s="6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69"/>
      <c r="B62" s="69"/>
      <c r="C62" s="6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69"/>
      <c r="B63" s="69"/>
      <c r="C63" s="6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69"/>
      <c r="B64" s="69"/>
      <c r="C64" s="6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69"/>
      <c r="B65" s="69"/>
      <c r="C65" s="6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9"/>
      <c r="B66" s="69"/>
      <c r="C66" s="6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9"/>
      <c r="B67" s="69"/>
      <c r="C67" s="6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69"/>
      <c r="B68" s="69"/>
      <c r="C68" s="6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9"/>
      <c r="B69" s="69"/>
      <c r="C69" s="6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9"/>
      <c r="B70" s="69"/>
      <c r="C70" s="6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9"/>
      <c r="B71" s="69"/>
      <c r="C71" s="6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69"/>
      <c r="B72" s="69"/>
      <c r="C72" s="6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9"/>
      <c r="B73" s="69"/>
      <c r="C73" s="6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69"/>
      <c r="B74" s="69"/>
      <c r="C74" s="6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9"/>
      <c r="B75" s="69"/>
      <c r="C75" s="6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69"/>
      <c r="B76" s="69"/>
      <c r="C76" s="6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69"/>
      <c r="B77" s="69"/>
      <c r="C77" s="6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69"/>
      <c r="B78" s="69"/>
      <c r="C78" s="6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69"/>
      <c r="B79" s="69"/>
      <c r="C79" s="6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69"/>
      <c r="B80" s="69"/>
      <c r="C80" s="6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69"/>
      <c r="B81" s="69"/>
      <c r="C81" s="6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69"/>
      <c r="B82" s="69"/>
      <c r="C82" s="6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69"/>
      <c r="B83" s="69"/>
      <c r="C83" s="6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9"/>
      <c r="B84" s="69"/>
      <c r="C84" s="6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69"/>
      <c r="B85" s="69"/>
      <c r="C85" s="6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69"/>
      <c r="B86" s="69"/>
      <c r="C86" s="6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69"/>
      <c r="B87" s="69"/>
      <c r="C87" s="6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9"/>
      <c r="B88" s="69"/>
      <c r="C88" s="6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69"/>
      <c r="B89" s="69"/>
      <c r="C89" s="6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9"/>
      <c r="B90" s="69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69"/>
      <c r="B91" s="69"/>
      <c r="C91" s="6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69"/>
      <c r="B92" s="69"/>
      <c r="C92" s="6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69"/>
      <c r="B93" s="69"/>
      <c r="C93" s="6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69"/>
      <c r="B94" s="69"/>
      <c r="C94" s="6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69"/>
      <c r="B95" s="69"/>
      <c r="C95" s="6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69"/>
      <c r="B96" s="69"/>
      <c r="C96" s="6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69"/>
      <c r="B97" s="69"/>
      <c r="C97" s="6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69"/>
      <c r="B98" s="69"/>
      <c r="C98" s="6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69"/>
      <c r="B99" s="69"/>
      <c r="C99" s="6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9"/>
      <c r="B100" s="69"/>
      <c r="C100" s="6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9"/>
      <c r="B101" s="69"/>
      <c r="C101" s="6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9"/>
      <c r="B102" s="69"/>
      <c r="C102" s="6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69"/>
      <c r="B103" s="69"/>
      <c r="C103" s="6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69"/>
      <c r="B104" s="69"/>
      <c r="C104" s="6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69"/>
      <c r="B105" s="69"/>
      <c r="C105" s="6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69"/>
      <c r="B106" s="69"/>
      <c r="C106" s="6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69"/>
      <c r="B107" s="69"/>
      <c r="C107" s="6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69"/>
      <c r="B108" s="69"/>
      <c r="C108" s="6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69"/>
      <c r="B109" s="69"/>
      <c r="C109" s="6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69"/>
      <c r="B110" s="69"/>
      <c r="C110" s="6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69"/>
      <c r="B111" s="69"/>
      <c r="C111" s="6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69"/>
      <c r="B112" s="69"/>
      <c r="C112" s="6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69"/>
      <c r="B113" s="69"/>
      <c r="C113" s="6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69"/>
      <c r="B114" s="69"/>
      <c r="C114" s="6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69"/>
      <c r="B115" s="69"/>
      <c r="C115" s="6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69"/>
      <c r="B116" s="69"/>
      <c r="C116" s="6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69"/>
      <c r="B117" s="69"/>
      <c r="C117" s="6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69"/>
      <c r="B118" s="69"/>
      <c r="C118" s="6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69"/>
      <c r="B119" s="69"/>
      <c r="C119" s="6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69"/>
      <c r="B120" s="69"/>
      <c r="C120" s="6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69"/>
      <c r="B121" s="69"/>
      <c r="C121" s="6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69"/>
      <c r="B122" s="69"/>
      <c r="C122" s="6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69"/>
      <c r="B123" s="69"/>
      <c r="C123" s="6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69"/>
      <c r="B124" s="69"/>
      <c r="C124" s="6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69"/>
      <c r="B125" s="69"/>
      <c r="C125" s="6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69"/>
      <c r="B126" s="69"/>
      <c r="C126" s="6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69"/>
      <c r="B127" s="69"/>
      <c r="C127" s="6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69"/>
      <c r="B128" s="69"/>
      <c r="C128" s="6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69"/>
      <c r="B129" s="69"/>
      <c r="C129" s="6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69"/>
      <c r="B130" s="69"/>
      <c r="C130" s="6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69"/>
      <c r="B131" s="69"/>
      <c r="C131" s="6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69"/>
      <c r="B132" s="69"/>
      <c r="C132" s="6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69"/>
      <c r="B133" s="69"/>
      <c r="C133" s="6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69"/>
      <c r="B134" s="69"/>
      <c r="C134" s="6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69"/>
      <c r="B135" s="69"/>
      <c r="C135" s="6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69"/>
      <c r="B136" s="69"/>
      <c r="C136" s="6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69"/>
      <c r="B137" s="69"/>
      <c r="C137" s="6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69"/>
      <c r="B138" s="69"/>
      <c r="C138" s="6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69"/>
      <c r="B139" s="69"/>
      <c r="C139" s="6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69"/>
      <c r="B140" s="69"/>
      <c r="C140" s="6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69"/>
      <c r="B141" s="69"/>
      <c r="C141" s="6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69"/>
      <c r="B142" s="69"/>
      <c r="C142" s="6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69"/>
      <c r="B143" s="69"/>
      <c r="C143" s="6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69"/>
      <c r="B144" s="69"/>
      <c r="C144" s="6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69"/>
      <c r="B145" s="69"/>
      <c r="C145" s="6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69"/>
      <c r="B146" s="69"/>
      <c r="C146" s="6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69"/>
      <c r="B147" s="69"/>
      <c r="C147" s="6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69"/>
      <c r="B148" s="69"/>
      <c r="C148" s="6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69"/>
      <c r="B149" s="69"/>
      <c r="C149" s="6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69"/>
      <c r="B150" s="69"/>
      <c r="C150" s="6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69"/>
      <c r="B151" s="69"/>
      <c r="C151" s="6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69"/>
      <c r="B152" s="69"/>
      <c r="C152" s="6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69"/>
      <c r="B153" s="69"/>
      <c r="C153" s="6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69"/>
      <c r="B154" s="69"/>
      <c r="C154" s="6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69"/>
      <c r="B155" s="69"/>
      <c r="C155" s="6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69"/>
      <c r="B156" s="69"/>
      <c r="C156" s="6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69"/>
      <c r="B157" s="69"/>
      <c r="C157" s="6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69"/>
      <c r="B158" s="69"/>
      <c r="C158" s="6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69"/>
      <c r="B159" s="69"/>
      <c r="C159" s="6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69"/>
      <c r="B160" s="69"/>
      <c r="C160" s="6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69"/>
      <c r="B161" s="69"/>
      <c r="C161" s="6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69"/>
      <c r="B162" s="69"/>
      <c r="C162" s="6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69"/>
      <c r="B163" s="69"/>
      <c r="C163" s="6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69"/>
      <c r="B164" s="69"/>
      <c r="C164" s="6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69"/>
      <c r="B165" s="69"/>
      <c r="C165" s="6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69"/>
      <c r="B166" s="69"/>
      <c r="C166" s="6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69"/>
      <c r="B167" s="69"/>
      <c r="C167" s="6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69"/>
      <c r="B168" s="69"/>
      <c r="C168" s="6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69"/>
      <c r="B169" s="69"/>
      <c r="C169" s="6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69"/>
      <c r="B170" s="69"/>
      <c r="C170" s="6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69"/>
      <c r="B171" s="69"/>
      <c r="C171" s="6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69"/>
      <c r="B172" s="69"/>
      <c r="C172" s="6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69"/>
      <c r="B173" s="69"/>
      <c r="C173" s="6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69"/>
      <c r="B174" s="69"/>
      <c r="C174" s="6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69"/>
      <c r="B175" s="69"/>
      <c r="C175" s="6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69"/>
      <c r="B176" s="69"/>
      <c r="C176" s="6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69"/>
      <c r="B177" s="69"/>
      <c r="C177" s="6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69"/>
      <c r="B178" s="69"/>
      <c r="C178" s="6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69"/>
      <c r="B179" s="69"/>
      <c r="C179" s="6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69"/>
      <c r="B180" s="69"/>
      <c r="C180" s="6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69"/>
      <c r="B181" s="69"/>
      <c r="C181" s="6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69"/>
      <c r="B182" s="69"/>
      <c r="C182" s="6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69"/>
      <c r="B183" s="69"/>
      <c r="C183" s="6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69"/>
      <c r="B184" s="69"/>
      <c r="C184" s="6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69"/>
      <c r="B185" s="69"/>
      <c r="C185" s="6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69"/>
      <c r="B186" s="69"/>
      <c r="C186" s="6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69"/>
      <c r="B187" s="69"/>
      <c r="C187" s="6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69"/>
      <c r="B188" s="69"/>
      <c r="C188" s="6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69"/>
      <c r="B189" s="69"/>
      <c r="C189" s="6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69"/>
      <c r="B190" s="69"/>
      <c r="C190" s="6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69"/>
      <c r="B191" s="69"/>
      <c r="C191" s="6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69"/>
      <c r="B192" s="69"/>
      <c r="C192" s="6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69"/>
      <c r="B193" s="69"/>
      <c r="C193" s="6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69"/>
      <c r="B194" s="69"/>
      <c r="C194" s="6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69"/>
      <c r="B195" s="69"/>
      <c r="C195" s="6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69"/>
      <c r="B196" s="69"/>
      <c r="C196" s="6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69"/>
      <c r="B197" s="69"/>
      <c r="C197" s="6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69"/>
      <c r="B198" s="69"/>
      <c r="C198" s="6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69"/>
      <c r="B199" s="69"/>
      <c r="C199" s="6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69"/>
      <c r="B200" s="69"/>
      <c r="C200" s="6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69"/>
      <c r="B201" s="69"/>
      <c r="C201" s="6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69"/>
      <c r="B202" s="69"/>
      <c r="C202" s="6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69"/>
      <c r="B203" s="69"/>
      <c r="C203" s="6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69"/>
      <c r="B204" s="69"/>
      <c r="C204" s="6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69"/>
      <c r="B205" s="69"/>
      <c r="C205" s="6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69"/>
      <c r="B206" s="69"/>
      <c r="C206" s="6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69"/>
      <c r="B207" s="69"/>
      <c r="C207" s="6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69"/>
      <c r="B208" s="69"/>
      <c r="C208" s="6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69"/>
      <c r="B209" s="69"/>
      <c r="C209" s="6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69"/>
      <c r="B210" s="69"/>
      <c r="C210" s="6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69"/>
      <c r="B211" s="69"/>
      <c r="C211" s="6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69"/>
      <c r="B212" s="69"/>
      <c r="C212" s="6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69"/>
      <c r="B213" s="69"/>
      <c r="C213" s="6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69"/>
      <c r="B214" s="69"/>
      <c r="C214" s="6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69"/>
      <c r="B215" s="69"/>
      <c r="C215" s="6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69"/>
      <c r="B216" s="69"/>
      <c r="C216" s="6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69"/>
      <c r="B217" s="69"/>
      <c r="C217" s="6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69"/>
      <c r="B218" s="69"/>
      <c r="C218" s="6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69"/>
      <c r="B219" s="69"/>
      <c r="C219" s="6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69"/>
      <c r="B220" s="69"/>
      <c r="C220" s="6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69"/>
      <c r="B221" s="69"/>
      <c r="C221" s="6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69"/>
      <c r="B222" s="69"/>
      <c r="C222" s="6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69"/>
      <c r="B223" s="69"/>
      <c r="C223" s="6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69"/>
      <c r="B224" s="69"/>
      <c r="C224" s="6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69"/>
      <c r="B225" s="69"/>
      <c r="C225" s="6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69"/>
      <c r="B226" s="69"/>
      <c r="C226" s="6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69"/>
      <c r="B227" s="69"/>
      <c r="C227" s="6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69"/>
      <c r="B228" s="69"/>
      <c r="C228" s="6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69"/>
      <c r="B229" s="69"/>
      <c r="C229" s="6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69"/>
      <c r="B230" s="69"/>
      <c r="C230" s="6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69"/>
      <c r="B231" s="69"/>
      <c r="C231" s="6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69"/>
      <c r="B232" s="69"/>
      <c r="C232" s="6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69"/>
      <c r="B233" s="69"/>
      <c r="C233" s="6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69"/>
      <c r="B234" s="69"/>
      <c r="C234" s="6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69"/>
      <c r="B235" s="69"/>
      <c r="C235" s="6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69"/>
      <c r="B236" s="69"/>
      <c r="C236" s="6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69"/>
      <c r="B237" s="69"/>
      <c r="C237" s="6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69"/>
      <c r="B238" s="69"/>
      <c r="C238" s="6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69"/>
      <c r="B239" s="69"/>
      <c r="C239" s="6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69"/>
      <c r="B240" s="69"/>
      <c r="C240" s="6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69"/>
      <c r="B241" s="69"/>
      <c r="C241" s="6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69"/>
      <c r="B242" s="69"/>
      <c r="C242" s="6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4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6:C36"/>
    <mergeCell ref="A37:C37"/>
    <mergeCell ref="A38:C38"/>
    <mergeCell ref="A39:C39"/>
    <mergeCell ref="A40:C40"/>
    <mergeCell ref="A41:C41"/>
    <mergeCell ref="A42:C42"/>
    <mergeCell ref="A29:C29"/>
    <mergeCell ref="A30:C30"/>
    <mergeCell ref="A31:C31"/>
    <mergeCell ref="A32:C32"/>
    <mergeCell ref="A33:C33"/>
    <mergeCell ref="A34:C34"/>
    <mergeCell ref="A35:C3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17B5E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1.0"/>
    <col customWidth="1" min="3" max="3" width="22.0"/>
    <col customWidth="1" min="4" max="4" width="10.43"/>
    <col customWidth="1" min="5" max="5" width="15.0"/>
    <col customWidth="1" min="6" max="6" width="22.0"/>
    <col customWidth="1" min="7" max="7" width="28.0"/>
  </cols>
  <sheetData>
    <row r="1" ht="15.0" customHeight="1">
      <c r="A1" s="2"/>
      <c r="B1" s="3"/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75" customHeight="1">
      <c r="A2" s="5" t="s">
        <v>0</v>
      </c>
      <c r="B2" s="3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7" t="s">
        <v>3</v>
      </c>
      <c r="B3" s="3"/>
      <c r="C3" s="3"/>
      <c r="D3" s="3"/>
      <c r="E3" s="3"/>
      <c r="F3" s="3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9"/>
      <c r="B4" s="3"/>
      <c r="C4" s="3"/>
      <c r="D4" s="3"/>
      <c r="E4" s="3"/>
      <c r="F4" s="3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3">
        <v>1.0</v>
      </c>
      <c r="B6" s="14" t="s">
        <v>14</v>
      </c>
      <c r="C6" s="15">
        <v>40.0</v>
      </c>
      <c r="D6" s="13" t="s">
        <v>16</v>
      </c>
      <c r="E6" s="13" t="s">
        <v>17</v>
      </c>
      <c r="F6" s="16">
        <v>46194.0</v>
      </c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8">
        <v>2.0</v>
      </c>
      <c r="B7" s="21" t="s">
        <v>20</v>
      </c>
      <c r="C7" s="22">
        <v>50.0</v>
      </c>
      <c r="D7" s="18" t="s">
        <v>16</v>
      </c>
      <c r="E7" s="18" t="s">
        <v>17</v>
      </c>
      <c r="F7" s="25">
        <v>46194.0</v>
      </c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26">
        <v>3.0</v>
      </c>
      <c r="B8" s="27" t="s">
        <v>23</v>
      </c>
      <c r="C8" s="28">
        <v>8500.0</v>
      </c>
      <c r="D8" s="30" t="s">
        <v>16</v>
      </c>
      <c r="E8" s="26" t="s">
        <v>25</v>
      </c>
      <c r="F8" s="16">
        <v>46104.0</v>
      </c>
      <c r="G8" s="3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8">
        <v>4.0</v>
      </c>
      <c r="B9" s="32" t="s">
        <v>28</v>
      </c>
      <c r="C9" s="22">
        <v>5000.0</v>
      </c>
      <c r="D9" s="33" t="s">
        <v>16</v>
      </c>
      <c r="E9" s="18" t="s">
        <v>25</v>
      </c>
      <c r="F9" s="25">
        <v>46104.0</v>
      </c>
      <c r="G9" s="2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3">
        <v>5.0</v>
      </c>
      <c r="B10" s="34" t="s">
        <v>31</v>
      </c>
      <c r="C10" s="15">
        <v>0.0</v>
      </c>
      <c r="D10" s="35" t="s">
        <v>16</v>
      </c>
      <c r="E10" s="35" t="s">
        <v>25</v>
      </c>
      <c r="F10" s="16">
        <v>46104.0</v>
      </c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8">
        <v>6.0</v>
      </c>
      <c r="B11" s="32" t="s">
        <v>33</v>
      </c>
      <c r="C11" s="22">
        <v>0.0</v>
      </c>
      <c r="D11" s="33" t="s">
        <v>16</v>
      </c>
      <c r="E11" s="33" t="s">
        <v>34</v>
      </c>
      <c r="F11" s="25">
        <v>46104.0</v>
      </c>
      <c r="G11" s="2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26">
        <v>7.0</v>
      </c>
      <c r="B12" s="31" t="s">
        <v>37</v>
      </c>
      <c r="C12" s="28">
        <v>200.0</v>
      </c>
      <c r="D12" s="30" t="s">
        <v>38</v>
      </c>
      <c r="E12" s="26" t="s">
        <v>25</v>
      </c>
      <c r="F12" s="25">
        <v>46104.0</v>
      </c>
      <c r="G12" s="3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8">
        <v>8.0</v>
      </c>
      <c r="B13" s="21" t="s">
        <v>41</v>
      </c>
      <c r="C13" s="22">
        <v>385.0</v>
      </c>
      <c r="D13" s="18" t="s">
        <v>16</v>
      </c>
      <c r="E13" s="18" t="s">
        <v>25</v>
      </c>
      <c r="F13" s="38">
        <v>46103.0</v>
      </c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39">
        <v>9.0</v>
      </c>
      <c r="B14" s="40" t="s">
        <v>44</v>
      </c>
      <c r="C14" s="41">
        <v>0.0</v>
      </c>
      <c r="D14" s="39" t="s">
        <v>16</v>
      </c>
      <c r="E14" s="39" t="s">
        <v>34</v>
      </c>
      <c r="F14" s="42">
        <v>46103.0</v>
      </c>
      <c r="G14" s="4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8">
        <v>10.0</v>
      </c>
      <c r="B15" s="21" t="s">
        <v>48</v>
      </c>
      <c r="C15" s="22">
        <v>260.0</v>
      </c>
      <c r="D15" s="18" t="s">
        <v>16</v>
      </c>
      <c r="E15" s="18" t="s">
        <v>34</v>
      </c>
      <c r="F15" s="38">
        <v>46103.0</v>
      </c>
      <c r="G15" s="2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43">
        <v>11.0</v>
      </c>
      <c r="B16" s="44" t="s">
        <v>50</v>
      </c>
      <c r="C16" s="45">
        <v>0.0</v>
      </c>
      <c r="D16" s="43" t="s">
        <v>38</v>
      </c>
      <c r="E16" s="43" t="s">
        <v>51</v>
      </c>
      <c r="F16" s="42">
        <v>46103.0</v>
      </c>
      <c r="G16" s="4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8">
        <v>12.0</v>
      </c>
      <c r="B17" s="32" t="s">
        <v>54</v>
      </c>
      <c r="C17" s="22">
        <v>45.0</v>
      </c>
      <c r="D17" s="33" t="s">
        <v>38</v>
      </c>
      <c r="E17" s="33" t="s">
        <v>25</v>
      </c>
      <c r="F17" s="25">
        <v>46104.0</v>
      </c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3">
        <v>13.0</v>
      </c>
      <c r="B18" s="14" t="s">
        <v>57</v>
      </c>
      <c r="C18" s="15">
        <v>0.0</v>
      </c>
      <c r="D18" s="13" t="s">
        <v>16</v>
      </c>
      <c r="E18" s="13" t="s">
        <v>17</v>
      </c>
      <c r="F18" s="42">
        <v>46103.0</v>
      </c>
      <c r="G18" s="1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8">
        <v>14.0</v>
      </c>
      <c r="B19" s="21" t="s">
        <v>60</v>
      </c>
      <c r="C19" s="22">
        <v>170.0</v>
      </c>
      <c r="D19" s="18" t="s">
        <v>16</v>
      </c>
      <c r="E19" s="18" t="s">
        <v>61</v>
      </c>
      <c r="F19" s="38">
        <v>46103.0</v>
      </c>
      <c r="G19" s="2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48">
        <v>15.0</v>
      </c>
      <c r="B20" s="49" t="s">
        <v>63</v>
      </c>
      <c r="C20" s="22">
        <v>260.0</v>
      </c>
      <c r="D20" s="50" t="s">
        <v>16</v>
      </c>
      <c r="E20" s="48" t="s">
        <v>61</v>
      </c>
      <c r="F20" s="38">
        <v>46103.0</v>
      </c>
      <c r="G20" s="5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8">
        <v>16.0</v>
      </c>
      <c r="B21" s="53" t="s">
        <v>66</v>
      </c>
      <c r="C21" s="22">
        <v>90.0</v>
      </c>
      <c r="D21" s="18" t="s">
        <v>16</v>
      </c>
      <c r="E21" s="18" t="s">
        <v>17</v>
      </c>
      <c r="F21" s="38">
        <v>46103.0</v>
      </c>
      <c r="G21" s="2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9">
        <v>17.0</v>
      </c>
      <c r="B22" s="54" t="s">
        <v>68</v>
      </c>
      <c r="C22" s="41">
        <v>260.0</v>
      </c>
      <c r="D22" s="39" t="s">
        <v>16</v>
      </c>
      <c r="E22" s="39" t="s">
        <v>34</v>
      </c>
      <c r="F22" s="38">
        <v>46103.0</v>
      </c>
      <c r="G22" s="4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8">
        <v>18.0</v>
      </c>
      <c r="B23" s="53" t="s">
        <v>71</v>
      </c>
      <c r="C23" s="22">
        <v>200.0</v>
      </c>
      <c r="D23" s="33" t="s">
        <v>16</v>
      </c>
      <c r="E23" s="18" t="s">
        <v>73</v>
      </c>
      <c r="F23" s="38">
        <v>46103.0</v>
      </c>
      <c r="G23" s="2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3">
        <v>19.0</v>
      </c>
      <c r="B24" s="55" t="s">
        <v>75</v>
      </c>
      <c r="C24" s="15">
        <v>98.0</v>
      </c>
      <c r="D24" s="13" t="s">
        <v>16</v>
      </c>
      <c r="E24" s="13" t="s">
        <v>17</v>
      </c>
      <c r="F24" s="38">
        <v>46103.0</v>
      </c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8">
        <v>20.0</v>
      </c>
      <c r="B25" s="56" t="s">
        <v>78</v>
      </c>
      <c r="C25" s="22">
        <v>70.0</v>
      </c>
      <c r="D25" s="18" t="s">
        <v>16</v>
      </c>
      <c r="E25" s="18" t="s">
        <v>73</v>
      </c>
      <c r="F25" s="38">
        <v>46103.0</v>
      </c>
      <c r="G25" s="2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57">
        <v>21.0</v>
      </c>
      <c r="B26" s="58" t="s">
        <v>81</v>
      </c>
      <c r="C26" s="59">
        <v>0.0</v>
      </c>
      <c r="D26" s="57" t="s">
        <v>16</v>
      </c>
      <c r="E26" s="57" t="s">
        <v>83</v>
      </c>
      <c r="F26" s="38">
        <v>46103.0</v>
      </c>
      <c r="G26" s="6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8">
        <v>22.0</v>
      </c>
      <c r="B27" s="53" t="s">
        <v>86</v>
      </c>
      <c r="C27" s="59">
        <v>534.0</v>
      </c>
      <c r="D27" s="33" t="s">
        <v>16</v>
      </c>
      <c r="E27" s="18" t="s">
        <v>83</v>
      </c>
      <c r="F27" s="38">
        <v>46103.0</v>
      </c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61">
        <v>23.0</v>
      </c>
      <c r="B28" s="53" t="s">
        <v>87</v>
      </c>
      <c r="C28" s="59">
        <v>460.0</v>
      </c>
      <c r="D28" s="18" t="s">
        <v>16</v>
      </c>
      <c r="E28" s="61" t="s">
        <v>88</v>
      </c>
      <c r="F28" s="38">
        <v>46103.0</v>
      </c>
      <c r="G28" s="6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61">
        <v>24.0</v>
      </c>
      <c r="B29" s="53" t="s">
        <v>89</v>
      </c>
      <c r="C29" s="59">
        <v>0.0</v>
      </c>
      <c r="D29" s="18" t="s">
        <v>9</v>
      </c>
      <c r="E29" s="61" t="s">
        <v>91</v>
      </c>
      <c r="F29" s="38">
        <v>46103.0</v>
      </c>
      <c r="G29" s="6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8">
        <v>25.0</v>
      </c>
      <c r="B30" s="56" t="s">
        <v>93</v>
      </c>
      <c r="C30" s="59">
        <v>150.0</v>
      </c>
      <c r="D30" s="18" t="s">
        <v>16</v>
      </c>
      <c r="E30" s="18" t="s">
        <v>34</v>
      </c>
      <c r="F30" s="38">
        <v>46103.0</v>
      </c>
      <c r="G30" s="2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8">
        <v>26.0</v>
      </c>
      <c r="B31" s="56" t="s">
        <v>96</v>
      </c>
      <c r="C31" s="59">
        <v>98.0</v>
      </c>
      <c r="D31" s="18" t="s">
        <v>16</v>
      </c>
      <c r="E31" s="18" t="s">
        <v>34</v>
      </c>
      <c r="F31" s="38">
        <v>46103.0</v>
      </c>
      <c r="G31" s="2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8">
        <v>27.0</v>
      </c>
      <c r="B32" s="56" t="s">
        <v>99</v>
      </c>
      <c r="C32" s="59">
        <v>0.0</v>
      </c>
      <c r="D32" s="18" t="s">
        <v>16</v>
      </c>
      <c r="E32" s="18" t="s">
        <v>91</v>
      </c>
      <c r="F32" s="38">
        <v>46103.0</v>
      </c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8">
        <v>28.0</v>
      </c>
      <c r="B33" s="56" t="s">
        <v>104</v>
      </c>
      <c r="C33" s="59">
        <v>0.0</v>
      </c>
      <c r="D33" s="18" t="s">
        <v>16</v>
      </c>
      <c r="E33" s="18" t="s">
        <v>91</v>
      </c>
      <c r="F33" s="38">
        <v>46103.0</v>
      </c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8">
        <v>29.0</v>
      </c>
      <c r="B34" s="56" t="s">
        <v>107</v>
      </c>
      <c r="C34" s="59">
        <v>0.0</v>
      </c>
      <c r="D34" s="18" t="s">
        <v>16</v>
      </c>
      <c r="E34" s="18" t="s">
        <v>91</v>
      </c>
      <c r="F34" s="38">
        <v>46103.0</v>
      </c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8">
        <v>30.0</v>
      </c>
      <c r="B35" s="53" t="s">
        <v>110</v>
      </c>
      <c r="C35" s="59">
        <v>0.0</v>
      </c>
      <c r="D35" s="33" t="s">
        <v>9</v>
      </c>
      <c r="E35" s="33" t="s">
        <v>112</v>
      </c>
      <c r="F35" s="38">
        <v>46103.0</v>
      </c>
      <c r="G35" s="2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8">
        <v>31.0</v>
      </c>
      <c r="B36" s="56" t="s">
        <v>113</v>
      </c>
      <c r="C36" s="59">
        <v>0.0</v>
      </c>
      <c r="D36" s="33" t="s">
        <v>16</v>
      </c>
      <c r="E36" s="18" t="s">
        <v>91</v>
      </c>
      <c r="F36" s="38">
        <v>46103.0</v>
      </c>
      <c r="G36" s="2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8">
        <v>32.0</v>
      </c>
      <c r="B37" s="56" t="s">
        <v>115</v>
      </c>
      <c r="C37" s="59">
        <v>0.0</v>
      </c>
      <c r="D37" s="18" t="s">
        <v>16</v>
      </c>
      <c r="E37" s="18" t="s">
        <v>91</v>
      </c>
      <c r="F37" s="38">
        <v>46103.0</v>
      </c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8">
        <v>33.0</v>
      </c>
      <c r="B38" s="56" t="s">
        <v>116</v>
      </c>
      <c r="C38" s="59">
        <v>0.0</v>
      </c>
      <c r="D38" s="18" t="s">
        <v>16</v>
      </c>
      <c r="E38" s="18" t="s">
        <v>117</v>
      </c>
      <c r="F38" s="38">
        <v>46103.0</v>
      </c>
      <c r="G38" s="2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8">
        <v>34.0</v>
      </c>
      <c r="B39" s="56" t="s">
        <v>118</v>
      </c>
      <c r="C39" s="59">
        <v>205.0</v>
      </c>
      <c r="D39" s="18" t="s">
        <v>16</v>
      </c>
      <c r="E39" s="18" t="s">
        <v>17</v>
      </c>
      <c r="F39" s="38">
        <v>46103.0</v>
      </c>
      <c r="G39" s="2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8">
        <v>35.0</v>
      </c>
      <c r="B40" s="53" t="s">
        <v>119</v>
      </c>
      <c r="C40" s="59">
        <v>210.0</v>
      </c>
      <c r="D40" s="18" t="s">
        <v>16</v>
      </c>
      <c r="E40" s="33" t="s">
        <v>120</v>
      </c>
      <c r="F40" s="66"/>
      <c r="G40" s="2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8">
        <v>36.0</v>
      </c>
      <c r="B41" s="56" t="s">
        <v>122</v>
      </c>
      <c r="C41" s="59">
        <v>0.0</v>
      </c>
      <c r="D41" s="18" t="s">
        <v>16</v>
      </c>
      <c r="E41" s="18" t="s">
        <v>112</v>
      </c>
      <c r="F41" s="38">
        <v>46103.0</v>
      </c>
      <c r="G41" s="2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8">
        <v>37.0</v>
      </c>
      <c r="B42" s="32" t="s">
        <v>123</v>
      </c>
      <c r="C42" s="68">
        <v>0.0</v>
      </c>
      <c r="D42" s="18" t="s">
        <v>16</v>
      </c>
      <c r="E42" s="18"/>
      <c r="F42" s="18"/>
      <c r="G42" s="2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8">
        <v>38.0</v>
      </c>
      <c r="B43" s="32" t="s">
        <v>124</v>
      </c>
      <c r="C43" s="68">
        <v>210.0</v>
      </c>
      <c r="D43" s="18" t="s">
        <v>16</v>
      </c>
      <c r="E43" s="33" t="s">
        <v>120</v>
      </c>
      <c r="F43" s="18"/>
      <c r="G43" s="2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8">
        <v>39.0</v>
      </c>
      <c r="B44" s="32" t="s">
        <v>125</v>
      </c>
      <c r="C44" s="68">
        <v>0.0</v>
      </c>
      <c r="D44" s="18" t="s">
        <v>16</v>
      </c>
      <c r="E44" s="33" t="s">
        <v>126</v>
      </c>
      <c r="F44" s="18"/>
      <c r="G44" s="2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8">
        <v>40.0</v>
      </c>
      <c r="B45" s="32" t="s">
        <v>127</v>
      </c>
      <c r="C45" s="68">
        <v>0.0</v>
      </c>
      <c r="D45" s="18" t="s">
        <v>16</v>
      </c>
      <c r="E45" s="33" t="s">
        <v>126</v>
      </c>
      <c r="F45" s="18"/>
      <c r="G45" s="2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8">
        <v>41.0</v>
      </c>
      <c r="B46" s="32" t="s">
        <v>128</v>
      </c>
      <c r="C46" s="68">
        <v>200.0</v>
      </c>
      <c r="D46" s="18" t="s">
        <v>16</v>
      </c>
      <c r="E46" s="33" t="s">
        <v>129</v>
      </c>
      <c r="F46" s="18"/>
      <c r="G46" s="2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8">
        <v>42.0</v>
      </c>
      <c r="B47" s="21"/>
      <c r="C47" s="70"/>
      <c r="D47" s="18" t="s">
        <v>16</v>
      </c>
      <c r="E47" s="18"/>
      <c r="F47" s="18"/>
      <c r="G47" s="2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8">
        <v>43.0</v>
      </c>
      <c r="B48" s="21"/>
      <c r="C48" s="70"/>
      <c r="D48" s="18" t="s">
        <v>16</v>
      </c>
      <c r="E48" s="18"/>
      <c r="F48" s="18"/>
      <c r="G48" s="2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8">
        <v>44.0</v>
      </c>
      <c r="B49" s="21"/>
      <c r="C49" s="70"/>
      <c r="D49" s="18" t="s">
        <v>16</v>
      </c>
      <c r="E49" s="18"/>
      <c r="F49" s="18"/>
      <c r="G49" s="2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8">
        <v>45.0</v>
      </c>
      <c r="B50" s="21"/>
      <c r="C50" s="70"/>
      <c r="D50" s="18" t="s">
        <v>16</v>
      </c>
      <c r="E50" s="18"/>
      <c r="F50" s="18"/>
      <c r="G50" s="2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8">
        <v>46.0</v>
      </c>
      <c r="B51" s="21"/>
      <c r="C51" s="70"/>
      <c r="D51" s="18" t="s">
        <v>16</v>
      </c>
      <c r="E51" s="18"/>
      <c r="F51" s="18"/>
      <c r="G51" s="2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8">
        <v>47.0</v>
      </c>
      <c r="B52" s="21"/>
      <c r="C52" s="70"/>
      <c r="D52" s="18" t="s">
        <v>16</v>
      </c>
      <c r="E52" s="18"/>
      <c r="F52" s="18"/>
      <c r="G52" s="2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8">
        <v>48.0</v>
      </c>
      <c r="B53" s="21"/>
      <c r="C53" s="70"/>
      <c r="D53" s="18" t="s">
        <v>16</v>
      </c>
      <c r="E53" s="18"/>
      <c r="F53" s="18"/>
      <c r="G53" s="2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8">
        <v>49.0</v>
      </c>
      <c r="B54" s="21"/>
      <c r="C54" s="70"/>
      <c r="D54" s="18" t="s">
        <v>16</v>
      </c>
      <c r="E54" s="18"/>
      <c r="F54" s="18"/>
      <c r="G54" s="2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8">
        <v>50.0</v>
      </c>
      <c r="B55" s="21"/>
      <c r="C55" s="70"/>
      <c r="D55" s="18" t="s">
        <v>16</v>
      </c>
      <c r="E55" s="18"/>
      <c r="F55" s="18"/>
      <c r="G55" s="2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8">
        <v>51.0</v>
      </c>
      <c r="B56" s="21"/>
      <c r="C56" s="70"/>
      <c r="D56" s="18" t="s">
        <v>16</v>
      </c>
      <c r="E56" s="18"/>
      <c r="F56" s="18"/>
      <c r="G56" s="2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8">
        <v>52.0</v>
      </c>
      <c r="B57" s="21"/>
      <c r="C57" s="70"/>
      <c r="D57" s="18" t="s">
        <v>16</v>
      </c>
      <c r="E57" s="18"/>
      <c r="F57" s="18"/>
      <c r="G57" s="2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8">
        <v>53.0</v>
      </c>
      <c r="B58" s="21"/>
      <c r="C58" s="70"/>
      <c r="D58" s="18" t="s">
        <v>16</v>
      </c>
      <c r="E58" s="18"/>
      <c r="F58" s="18"/>
      <c r="G58" s="2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8">
        <v>54.0</v>
      </c>
      <c r="B59" s="21"/>
      <c r="C59" s="70"/>
      <c r="D59" s="18" t="s">
        <v>16</v>
      </c>
      <c r="E59" s="18"/>
      <c r="F59" s="18"/>
      <c r="G59" s="2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8">
        <v>55.0</v>
      </c>
      <c r="B60" s="21"/>
      <c r="C60" s="70"/>
      <c r="D60" s="18" t="s">
        <v>16</v>
      </c>
      <c r="E60" s="18"/>
      <c r="F60" s="18"/>
      <c r="G60" s="2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8">
        <v>56.0</v>
      </c>
      <c r="B61" s="21"/>
      <c r="C61" s="70"/>
      <c r="D61" s="18" t="s">
        <v>16</v>
      </c>
      <c r="E61" s="18"/>
      <c r="F61" s="18"/>
      <c r="G61" s="2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8">
        <v>57.0</v>
      </c>
      <c r="B62" s="21"/>
      <c r="C62" s="70"/>
      <c r="D62" s="18" t="s">
        <v>16</v>
      </c>
      <c r="E62" s="18"/>
      <c r="F62" s="18"/>
      <c r="G62" s="2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8">
        <v>58.0</v>
      </c>
      <c r="B63" s="21"/>
      <c r="C63" s="70"/>
      <c r="D63" s="18" t="s">
        <v>16</v>
      </c>
      <c r="E63" s="18"/>
      <c r="F63" s="18"/>
      <c r="G63" s="2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8">
        <v>59.0</v>
      </c>
      <c r="B64" s="21"/>
      <c r="C64" s="70"/>
      <c r="D64" s="18" t="s">
        <v>16</v>
      </c>
      <c r="E64" s="18"/>
      <c r="F64" s="18"/>
      <c r="G64" s="2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8">
        <v>60.0</v>
      </c>
      <c r="B65" s="21"/>
      <c r="C65" s="70"/>
      <c r="D65" s="18" t="s">
        <v>16</v>
      </c>
      <c r="E65" s="18"/>
      <c r="F65" s="18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8">
        <v>61.0</v>
      </c>
      <c r="B66" s="21"/>
      <c r="C66" s="70"/>
      <c r="D66" s="18" t="s">
        <v>16</v>
      </c>
      <c r="E66" s="18"/>
      <c r="F66" s="18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8">
        <v>62.0</v>
      </c>
      <c r="B67" s="21"/>
      <c r="C67" s="70"/>
      <c r="D67" s="18" t="s">
        <v>16</v>
      </c>
      <c r="E67" s="18"/>
      <c r="F67" s="18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8">
        <v>63.0</v>
      </c>
      <c r="B68" s="21"/>
      <c r="C68" s="70"/>
      <c r="D68" s="18" t="s">
        <v>16</v>
      </c>
      <c r="E68" s="18"/>
      <c r="F68" s="18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8">
        <v>64.0</v>
      </c>
      <c r="B69" s="21"/>
      <c r="C69" s="70"/>
      <c r="D69" s="18" t="s">
        <v>16</v>
      </c>
      <c r="E69" s="18"/>
      <c r="F69" s="18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8">
        <v>65.0</v>
      </c>
      <c r="B70" s="21"/>
      <c r="C70" s="70"/>
      <c r="D70" s="18" t="s">
        <v>16</v>
      </c>
      <c r="E70" s="18"/>
      <c r="F70" s="18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8">
        <v>66.0</v>
      </c>
      <c r="B71" s="21"/>
      <c r="C71" s="70"/>
      <c r="D71" s="18" t="s">
        <v>16</v>
      </c>
      <c r="E71" s="18"/>
      <c r="F71" s="18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8">
        <v>67.0</v>
      </c>
      <c r="B72" s="21"/>
      <c r="C72" s="70"/>
      <c r="D72" s="18" t="s">
        <v>16</v>
      </c>
      <c r="E72" s="18"/>
      <c r="F72" s="18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8">
        <v>68.0</v>
      </c>
      <c r="B73" s="21"/>
      <c r="C73" s="70"/>
      <c r="D73" s="18" t="s">
        <v>16</v>
      </c>
      <c r="E73" s="18"/>
      <c r="F73" s="18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8">
        <v>69.0</v>
      </c>
      <c r="B74" s="21"/>
      <c r="C74" s="70"/>
      <c r="D74" s="18" t="s">
        <v>16</v>
      </c>
      <c r="E74" s="18"/>
      <c r="F74" s="18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8">
        <v>70.0</v>
      </c>
      <c r="B75" s="21"/>
      <c r="C75" s="70"/>
      <c r="D75" s="18" t="s">
        <v>16</v>
      </c>
      <c r="E75" s="18"/>
      <c r="F75" s="18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8">
        <v>71.0</v>
      </c>
      <c r="B76" s="21"/>
      <c r="C76" s="70"/>
      <c r="D76" s="18" t="s">
        <v>16</v>
      </c>
      <c r="E76" s="18"/>
      <c r="F76" s="18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8">
        <v>72.0</v>
      </c>
      <c r="B77" s="21"/>
      <c r="C77" s="70"/>
      <c r="D77" s="18" t="s">
        <v>16</v>
      </c>
      <c r="E77" s="18"/>
      <c r="F77" s="18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8">
        <v>73.0</v>
      </c>
      <c r="B78" s="21"/>
      <c r="C78" s="70"/>
      <c r="D78" s="18" t="s">
        <v>16</v>
      </c>
      <c r="E78" s="18"/>
      <c r="F78" s="18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8">
        <v>74.0</v>
      </c>
      <c r="B79" s="21"/>
      <c r="C79" s="70"/>
      <c r="D79" s="18" t="s">
        <v>16</v>
      </c>
      <c r="E79" s="18"/>
      <c r="F79" s="18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8">
        <v>75.0</v>
      </c>
      <c r="B80" s="21"/>
      <c r="C80" s="70"/>
      <c r="D80" s="18" t="s">
        <v>16</v>
      </c>
      <c r="E80" s="18"/>
      <c r="F80" s="18"/>
      <c r="G80" s="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8">
        <v>76.0</v>
      </c>
      <c r="B81" s="21"/>
      <c r="C81" s="70"/>
      <c r="D81" s="18" t="s">
        <v>16</v>
      </c>
      <c r="E81" s="18"/>
      <c r="F81" s="18"/>
      <c r="G81" s="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8">
        <v>77.0</v>
      </c>
      <c r="B82" s="21"/>
      <c r="C82" s="70"/>
      <c r="D82" s="18" t="s">
        <v>16</v>
      </c>
      <c r="E82" s="18"/>
      <c r="F82" s="18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8">
        <v>78.0</v>
      </c>
      <c r="B83" s="21"/>
      <c r="C83" s="70"/>
      <c r="D83" s="18" t="s">
        <v>16</v>
      </c>
      <c r="E83" s="18"/>
      <c r="F83" s="18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8">
        <v>79.0</v>
      </c>
      <c r="B84" s="21"/>
      <c r="C84" s="70"/>
      <c r="D84" s="18" t="s">
        <v>16</v>
      </c>
      <c r="E84" s="18"/>
      <c r="F84" s="18"/>
      <c r="G84" s="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8">
        <v>80.0</v>
      </c>
      <c r="B85" s="21"/>
      <c r="C85" s="70"/>
      <c r="D85" s="18" t="s">
        <v>16</v>
      </c>
      <c r="E85" s="18"/>
      <c r="F85" s="18"/>
      <c r="G85" s="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8">
        <v>81.0</v>
      </c>
      <c r="B86" s="21"/>
      <c r="C86" s="70"/>
      <c r="D86" s="18" t="s">
        <v>16</v>
      </c>
      <c r="E86" s="18"/>
      <c r="F86" s="18"/>
      <c r="G86" s="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8">
        <v>82.0</v>
      </c>
      <c r="B87" s="21"/>
      <c r="C87" s="70"/>
      <c r="D87" s="18" t="s">
        <v>16</v>
      </c>
      <c r="E87" s="18"/>
      <c r="F87" s="18"/>
      <c r="G87" s="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8">
        <v>83.0</v>
      </c>
      <c r="B88" s="21"/>
      <c r="C88" s="70"/>
      <c r="D88" s="18" t="s">
        <v>16</v>
      </c>
      <c r="E88" s="18"/>
      <c r="F88" s="18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8">
        <v>84.0</v>
      </c>
      <c r="B89" s="21"/>
      <c r="C89" s="70"/>
      <c r="D89" s="18" t="s">
        <v>16</v>
      </c>
      <c r="E89" s="18"/>
      <c r="F89" s="18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8">
        <v>85.0</v>
      </c>
      <c r="B90" s="21"/>
      <c r="C90" s="70"/>
      <c r="D90" s="18" t="s">
        <v>16</v>
      </c>
      <c r="E90" s="18"/>
      <c r="F90" s="18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8">
        <v>86.0</v>
      </c>
      <c r="B91" s="21"/>
      <c r="C91" s="70"/>
      <c r="D91" s="18" t="s">
        <v>16</v>
      </c>
      <c r="E91" s="18"/>
      <c r="F91" s="18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8">
        <v>87.0</v>
      </c>
      <c r="B92" s="21"/>
      <c r="C92" s="70"/>
      <c r="D92" s="18" t="s">
        <v>16</v>
      </c>
      <c r="E92" s="18"/>
      <c r="F92" s="18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8">
        <v>88.0</v>
      </c>
      <c r="B93" s="21"/>
      <c r="C93" s="70"/>
      <c r="D93" s="18" t="s">
        <v>16</v>
      </c>
      <c r="E93" s="18"/>
      <c r="F93" s="18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8">
        <v>89.0</v>
      </c>
      <c r="B94" s="21"/>
      <c r="C94" s="70"/>
      <c r="D94" s="18" t="s">
        <v>16</v>
      </c>
      <c r="E94" s="18"/>
      <c r="F94" s="18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8">
        <v>90.0</v>
      </c>
      <c r="B95" s="21"/>
      <c r="C95" s="70"/>
      <c r="D95" s="18" t="s">
        <v>16</v>
      </c>
      <c r="E95" s="18"/>
      <c r="F95" s="18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8">
        <v>91.0</v>
      </c>
      <c r="B96" s="21"/>
      <c r="C96" s="70"/>
      <c r="D96" s="18" t="s">
        <v>16</v>
      </c>
      <c r="E96" s="18"/>
      <c r="F96" s="18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8">
        <v>92.0</v>
      </c>
      <c r="B97" s="21"/>
      <c r="C97" s="70"/>
      <c r="D97" s="18" t="s">
        <v>16</v>
      </c>
      <c r="E97" s="18"/>
      <c r="F97" s="18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8">
        <v>93.0</v>
      </c>
      <c r="B98" s="21"/>
      <c r="C98" s="70"/>
      <c r="D98" s="18" t="s">
        <v>16</v>
      </c>
      <c r="E98" s="18"/>
      <c r="F98" s="18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8">
        <v>94.0</v>
      </c>
      <c r="B99" s="21"/>
      <c r="C99" s="70"/>
      <c r="D99" s="18" t="s">
        <v>16</v>
      </c>
      <c r="E99" s="18"/>
      <c r="F99" s="18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8">
        <v>95.0</v>
      </c>
      <c r="B100" s="21"/>
      <c r="C100" s="70"/>
      <c r="D100" s="18" t="s">
        <v>16</v>
      </c>
      <c r="E100" s="18"/>
      <c r="F100" s="18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9"/>
      <c r="B101" s="69"/>
      <c r="C101" s="69"/>
      <c r="D101" s="69"/>
      <c r="E101" s="69"/>
      <c r="F101" s="69"/>
      <c r="G101" s="6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9"/>
      <c r="B102" s="69"/>
      <c r="C102" s="69"/>
      <c r="D102" s="69"/>
      <c r="E102" s="69"/>
      <c r="F102" s="69"/>
      <c r="G102" s="6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69"/>
      <c r="B103" s="69"/>
      <c r="C103" s="69"/>
      <c r="D103" s="69"/>
      <c r="E103" s="69"/>
      <c r="F103" s="69"/>
      <c r="G103" s="6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69"/>
      <c r="B104" s="69"/>
      <c r="C104" s="69"/>
      <c r="D104" s="69"/>
      <c r="E104" s="69"/>
      <c r="F104" s="69"/>
      <c r="G104" s="6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69"/>
      <c r="B105" s="69"/>
      <c r="C105" s="69"/>
      <c r="D105" s="69"/>
      <c r="E105" s="69"/>
      <c r="F105" s="69"/>
      <c r="G105" s="6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69"/>
      <c r="B106" s="69"/>
      <c r="C106" s="69"/>
      <c r="D106" s="69"/>
      <c r="E106" s="69"/>
      <c r="F106" s="69"/>
      <c r="G106" s="6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69"/>
      <c r="B107" s="69"/>
      <c r="C107" s="69"/>
      <c r="D107" s="69"/>
      <c r="E107" s="69"/>
      <c r="F107" s="69"/>
      <c r="G107" s="6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69"/>
      <c r="B108" s="69"/>
      <c r="C108" s="69"/>
      <c r="D108" s="69"/>
      <c r="E108" s="69"/>
      <c r="F108" s="69"/>
      <c r="G108" s="6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69"/>
      <c r="B109" s="69"/>
      <c r="C109" s="69"/>
      <c r="D109" s="69"/>
      <c r="E109" s="69"/>
      <c r="F109" s="69"/>
      <c r="G109" s="6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69"/>
      <c r="B110" s="69"/>
      <c r="C110" s="69"/>
      <c r="D110" s="69"/>
      <c r="E110" s="69"/>
      <c r="F110" s="69"/>
      <c r="G110" s="6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69"/>
      <c r="B111" s="69"/>
      <c r="C111" s="69"/>
      <c r="D111" s="69"/>
      <c r="E111" s="69"/>
      <c r="F111" s="69"/>
      <c r="G111" s="6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69"/>
      <c r="B112" s="69"/>
      <c r="C112" s="69"/>
      <c r="D112" s="69"/>
      <c r="E112" s="69"/>
      <c r="F112" s="69"/>
      <c r="G112" s="6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69"/>
      <c r="B113" s="69"/>
      <c r="C113" s="69"/>
      <c r="D113" s="69"/>
      <c r="E113" s="69"/>
      <c r="F113" s="69"/>
      <c r="G113" s="6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69"/>
      <c r="B114" s="69"/>
      <c r="C114" s="69"/>
      <c r="D114" s="69"/>
      <c r="E114" s="69"/>
      <c r="F114" s="69"/>
      <c r="G114" s="6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69"/>
      <c r="B115" s="69"/>
      <c r="C115" s="69"/>
      <c r="D115" s="69"/>
      <c r="E115" s="69"/>
      <c r="F115" s="69"/>
      <c r="G115" s="6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69"/>
      <c r="B116" s="69"/>
      <c r="C116" s="69"/>
      <c r="D116" s="69"/>
      <c r="E116" s="69"/>
      <c r="F116" s="69"/>
      <c r="G116" s="6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69"/>
      <c r="B117" s="69"/>
      <c r="C117" s="69"/>
      <c r="D117" s="69"/>
      <c r="E117" s="69"/>
      <c r="F117" s="69"/>
      <c r="G117" s="6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69"/>
      <c r="B118" s="69"/>
      <c r="C118" s="69"/>
      <c r="D118" s="69"/>
      <c r="E118" s="69"/>
      <c r="F118" s="69"/>
      <c r="G118" s="6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69"/>
      <c r="B119" s="69"/>
      <c r="C119" s="69"/>
      <c r="D119" s="69"/>
      <c r="E119" s="69"/>
      <c r="F119" s="69"/>
      <c r="G119" s="6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69"/>
      <c r="B120" s="69"/>
      <c r="C120" s="69"/>
      <c r="D120" s="69"/>
      <c r="E120" s="69"/>
      <c r="F120" s="69"/>
      <c r="G120" s="6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69"/>
      <c r="B121" s="69"/>
      <c r="C121" s="69"/>
      <c r="D121" s="69"/>
      <c r="E121" s="69"/>
      <c r="F121" s="69"/>
      <c r="G121" s="6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69"/>
      <c r="B122" s="69"/>
      <c r="C122" s="69"/>
      <c r="D122" s="69"/>
      <c r="E122" s="69"/>
      <c r="F122" s="69"/>
      <c r="G122" s="6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69"/>
      <c r="B123" s="69"/>
      <c r="C123" s="69"/>
      <c r="D123" s="69"/>
      <c r="E123" s="69"/>
      <c r="F123" s="69"/>
      <c r="G123" s="6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69"/>
      <c r="B124" s="69"/>
      <c r="C124" s="69"/>
      <c r="D124" s="69"/>
      <c r="E124" s="69"/>
      <c r="F124" s="69"/>
      <c r="G124" s="6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69"/>
      <c r="B125" s="69"/>
      <c r="C125" s="69"/>
      <c r="D125" s="69"/>
      <c r="E125" s="69"/>
      <c r="F125" s="69"/>
      <c r="G125" s="6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69"/>
      <c r="B126" s="69"/>
      <c r="C126" s="69"/>
      <c r="D126" s="69"/>
      <c r="E126" s="69"/>
      <c r="F126" s="69"/>
      <c r="G126" s="6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69"/>
      <c r="B127" s="69"/>
      <c r="C127" s="69"/>
      <c r="D127" s="69"/>
      <c r="E127" s="69"/>
      <c r="F127" s="69"/>
      <c r="G127" s="6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69"/>
      <c r="B128" s="69"/>
      <c r="C128" s="69"/>
      <c r="D128" s="69"/>
      <c r="E128" s="69"/>
      <c r="F128" s="69"/>
      <c r="G128" s="6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69"/>
      <c r="B129" s="69"/>
      <c r="C129" s="69"/>
      <c r="D129" s="69"/>
      <c r="E129" s="69"/>
      <c r="F129" s="69"/>
      <c r="G129" s="6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69"/>
      <c r="B130" s="69"/>
      <c r="C130" s="69"/>
      <c r="D130" s="69"/>
      <c r="E130" s="69"/>
      <c r="F130" s="69"/>
      <c r="G130" s="6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69"/>
      <c r="B131" s="69"/>
      <c r="C131" s="69"/>
      <c r="D131" s="69"/>
      <c r="E131" s="69"/>
      <c r="F131" s="69"/>
      <c r="G131" s="6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69"/>
      <c r="B132" s="69"/>
      <c r="C132" s="69"/>
      <c r="D132" s="69"/>
      <c r="E132" s="69"/>
      <c r="F132" s="69"/>
      <c r="G132" s="6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69"/>
      <c r="B133" s="69"/>
      <c r="C133" s="69"/>
      <c r="D133" s="69"/>
      <c r="E133" s="69"/>
      <c r="F133" s="69"/>
      <c r="G133" s="6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69"/>
      <c r="B134" s="69"/>
      <c r="C134" s="69"/>
      <c r="D134" s="69"/>
      <c r="E134" s="69"/>
      <c r="F134" s="69"/>
      <c r="G134" s="6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69"/>
      <c r="B135" s="69"/>
      <c r="C135" s="69"/>
      <c r="D135" s="69"/>
      <c r="E135" s="69"/>
      <c r="F135" s="69"/>
      <c r="G135" s="6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69"/>
      <c r="B136" s="69"/>
      <c r="C136" s="69"/>
      <c r="D136" s="69"/>
      <c r="E136" s="69"/>
      <c r="F136" s="69"/>
      <c r="G136" s="6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69"/>
      <c r="B137" s="69"/>
      <c r="C137" s="69"/>
      <c r="D137" s="69"/>
      <c r="E137" s="69"/>
      <c r="F137" s="69"/>
      <c r="G137" s="6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69"/>
      <c r="B138" s="69"/>
      <c r="C138" s="69"/>
      <c r="D138" s="69"/>
      <c r="E138" s="69"/>
      <c r="F138" s="69"/>
      <c r="G138" s="6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69"/>
      <c r="B139" s="69"/>
      <c r="C139" s="69"/>
      <c r="D139" s="69"/>
      <c r="E139" s="69"/>
      <c r="F139" s="69"/>
      <c r="G139" s="6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69"/>
      <c r="B140" s="69"/>
      <c r="C140" s="69"/>
      <c r="D140" s="69"/>
      <c r="E140" s="69"/>
      <c r="F140" s="69"/>
      <c r="G140" s="6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69"/>
      <c r="B141" s="69"/>
      <c r="C141" s="69"/>
      <c r="D141" s="69"/>
      <c r="E141" s="69"/>
      <c r="F141" s="69"/>
      <c r="G141" s="6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69"/>
      <c r="B142" s="69"/>
      <c r="C142" s="69"/>
      <c r="D142" s="69"/>
      <c r="E142" s="69"/>
      <c r="F142" s="69"/>
      <c r="G142" s="6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69"/>
      <c r="B143" s="69"/>
      <c r="C143" s="69"/>
      <c r="D143" s="69"/>
      <c r="E143" s="69"/>
      <c r="F143" s="69"/>
      <c r="G143" s="6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69"/>
      <c r="B144" s="69"/>
      <c r="C144" s="69"/>
      <c r="D144" s="69"/>
      <c r="E144" s="69"/>
      <c r="F144" s="69"/>
      <c r="G144" s="6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69"/>
      <c r="B145" s="69"/>
      <c r="C145" s="69"/>
      <c r="D145" s="69"/>
      <c r="E145" s="69"/>
      <c r="F145" s="69"/>
      <c r="G145" s="6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69"/>
      <c r="B146" s="69"/>
      <c r="C146" s="69"/>
      <c r="D146" s="69"/>
      <c r="E146" s="69"/>
      <c r="F146" s="69"/>
      <c r="G146" s="6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69"/>
      <c r="B147" s="69"/>
      <c r="C147" s="69"/>
      <c r="D147" s="69"/>
      <c r="E147" s="69"/>
      <c r="F147" s="69"/>
      <c r="G147" s="6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69"/>
      <c r="B148" s="69"/>
      <c r="C148" s="69"/>
      <c r="D148" s="69"/>
      <c r="E148" s="69"/>
      <c r="F148" s="69"/>
      <c r="G148" s="6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69"/>
      <c r="B149" s="69"/>
      <c r="C149" s="69"/>
      <c r="D149" s="69"/>
      <c r="E149" s="69"/>
      <c r="F149" s="69"/>
      <c r="G149" s="6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69"/>
      <c r="B150" s="69"/>
      <c r="C150" s="69"/>
      <c r="D150" s="69"/>
      <c r="E150" s="69"/>
      <c r="F150" s="69"/>
      <c r="G150" s="6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69"/>
      <c r="B151" s="69"/>
      <c r="C151" s="69"/>
      <c r="D151" s="69"/>
      <c r="E151" s="69"/>
      <c r="F151" s="69"/>
      <c r="G151" s="6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69"/>
      <c r="B152" s="69"/>
      <c r="C152" s="69"/>
      <c r="D152" s="69"/>
      <c r="E152" s="69"/>
      <c r="F152" s="69"/>
      <c r="G152" s="6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69"/>
      <c r="B153" s="69"/>
      <c r="C153" s="69"/>
      <c r="D153" s="69"/>
      <c r="E153" s="69"/>
      <c r="F153" s="69"/>
      <c r="G153" s="6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69"/>
      <c r="B154" s="69"/>
      <c r="C154" s="69"/>
      <c r="D154" s="69"/>
      <c r="E154" s="69"/>
      <c r="F154" s="69"/>
      <c r="G154" s="6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69"/>
      <c r="B155" s="69"/>
      <c r="C155" s="69"/>
      <c r="D155" s="69"/>
      <c r="E155" s="69"/>
      <c r="F155" s="69"/>
      <c r="G155" s="6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69"/>
      <c r="B156" s="69"/>
      <c r="C156" s="69"/>
      <c r="D156" s="69"/>
      <c r="E156" s="69"/>
      <c r="F156" s="69"/>
      <c r="G156" s="6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69"/>
      <c r="B157" s="69"/>
      <c r="C157" s="69"/>
      <c r="D157" s="69"/>
      <c r="E157" s="69"/>
      <c r="F157" s="69"/>
      <c r="G157" s="6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69"/>
      <c r="B158" s="69"/>
      <c r="C158" s="69"/>
      <c r="D158" s="69"/>
      <c r="E158" s="69"/>
      <c r="F158" s="69"/>
      <c r="G158" s="6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69"/>
      <c r="B159" s="69"/>
      <c r="C159" s="69"/>
      <c r="D159" s="69"/>
      <c r="E159" s="69"/>
      <c r="F159" s="69"/>
      <c r="G159" s="6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69"/>
      <c r="B160" s="69"/>
      <c r="C160" s="69"/>
      <c r="D160" s="69"/>
      <c r="E160" s="69"/>
      <c r="F160" s="69"/>
      <c r="G160" s="6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69"/>
      <c r="B161" s="69"/>
      <c r="C161" s="69"/>
      <c r="D161" s="69"/>
      <c r="E161" s="69"/>
      <c r="F161" s="69"/>
      <c r="G161" s="6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69"/>
      <c r="B162" s="69"/>
      <c r="C162" s="69"/>
      <c r="D162" s="69"/>
      <c r="E162" s="69"/>
      <c r="F162" s="69"/>
      <c r="G162" s="6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69"/>
      <c r="B163" s="69"/>
      <c r="C163" s="69"/>
      <c r="D163" s="69"/>
      <c r="E163" s="69"/>
      <c r="F163" s="69"/>
      <c r="G163" s="6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69"/>
      <c r="B164" s="69"/>
      <c r="C164" s="69"/>
      <c r="D164" s="69"/>
      <c r="E164" s="69"/>
      <c r="F164" s="69"/>
      <c r="G164" s="6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69"/>
      <c r="B165" s="69"/>
      <c r="C165" s="69"/>
      <c r="D165" s="69"/>
      <c r="E165" s="69"/>
      <c r="F165" s="69"/>
      <c r="G165" s="6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69"/>
      <c r="B166" s="69"/>
      <c r="C166" s="69"/>
      <c r="D166" s="69"/>
      <c r="E166" s="69"/>
      <c r="F166" s="69"/>
      <c r="G166" s="6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69"/>
      <c r="B167" s="69"/>
      <c r="C167" s="69"/>
      <c r="D167" s="69"/>
      <c r="E167" s="69"/>
      <c r="F167" s="69"/>
      <c r="G167" s="6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69"/>
      <c r="B168" s="69"/>
      <c r="C168" s="69"/>
      <c r="D168" s="69"/>
      <c r="E168" s="69"/>
      <c r="F168" s="69"/>
      <c r="G168" s="6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69"/>
      <c r="B169" s="69"/>
      <c r="C169" s="69"/>
      <c r="D169" s="69"/>
      <c r="E169" s="69"/>
      <c r="F169" s="69"/>
      <c r="G169" s="6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69"/>
      <c r="B170" s="69"/>
      <c r="C170" s="69"/>
      <c r="D170" s="69"/>
      <c r="E170" s="69"/>
      <c r="F170" s="69"/>
      <c r="G170" s="6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69"/>
      <c r="B171" s="69"/>
      <c r="C171" s="69"/>
      <c r="D171" s="69"/>
      <c r="E171" s="69"/>
      <c r="F171" s="69"/>
      <c r="G171" s="6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69"/>
      <c r="B172" s="69"/>
      <c r="C172" s="69"/>
      <c r="D172" s="69"/>
      <c r="E172" s="69"/>
      <c r="F172" s="69"/>
      <c r="G172" s="6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69"/>
      <c r="B173" s="69"/>
      <c r="C173" s="69"/>
      <c r="D173" s="69"/>
      <c r="E173" s="69"/>
      <c r="F173" s="69"/>
      <c r="G173" s="6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69"/>
      <c r="B174" s="69"/>
      <c r="C174" s="69"/>
      <c r="D174" s="69"/>
      <c r="E174" s="69"/>
      <c r="F174" s="69"/>
      <c r="G174" s="6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69"/>
      <c r="B175" s="69"/>
      <c r="C175" s="69"/>
      <c r="D175" s="69"/>
      <c r="E175" s="69"/>
      <c r="F175" s="69"/>
      <c r="G175" s="6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69"/>
      <c r="B176" s="69"/>
      <c r="C176" s="69"/>
      <c r="D176" s="69"/>
      <c r="E176" s="69"/>
      <c r="F176" s="69"/>
      <c r="G176" s="6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69"/>
      <c r="B177" s="69"/>
      <c r="C177" s="69"/>
      <c r="D177" s="69"/>
      <c r="E177" s="69"/>
      <c r="F177" s="69"/>
      <c r="G177" s="6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69"/>
      <c r="B178" s="69"/>
      <c r="C178" s="69"/>
      <c r="D178" s="69"/>
      <c r="E178" s="69"/>
      <c r="F178" s="69"/>
      <c r="G178" s="6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69"/>
      <c r="B179" s="69"/>
      <c r="C179" s="69"/>
      <c r="D179" s="69"/>
      <c r="E179" s="69"/>
      <c r="F179" s="69"/>
      <c r="G179" s="6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69"/>
      <c r="B180" s="69"/>
      <c r="C180" s="69"/>
      <c r="D180" s="69"/>
      <c r="E180" s="69"/>
      <c r="F180" s="69"/>
      <c r="G180" s="6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69"/>
      <c r="B181" s="69"/>
      <c r="C181" s="69"/>
      <c r="D181" s="69"/>
      <c r="E181" s="69"/>
      <c r="F181" s="69"/>
      <c r="G181" s="6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69"/>
      <c r="B182" s="69"/>
      <c r="C182" s="69"/>
      <c r="D182" s="69"/>
      <c r="E182" s="69"/>
      <c r="F182" s="69"/>
      <c r="G182" s="6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69"/>
      <c r="B183" s="69"/>
      <c r="C183" s="69"/>
      <c r="D183" s="69"/>
      <c r="E183" s="69"/>
      <c r="F183" s="69"/>
      <c r="G183" s="6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69"/>
      <c r="B184" s="69"/>
      <c r="C184" s="69"/>
      <c r="D184" s="69"/>
      <c r="E184" s="69"/>
      <c r="F184" s="69"/>
      <c r="G184" s="6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69"/>
      <c r="B185" s="69"/>
      <c r="C185" s="69"/>
      <c r="D185" s="69"/>
      <c r="E185" s="69"/>
      <c r="F185" s="69"/>
      <c r="G185" s="6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69"/>
      <c r="B186" s="69"/>
      <c r="C186" s="69"/>
      <c r="D186" s="69"/>
      <c r="E186" s="69"/>
      <c r="F186" s="69"/>
      <c r="G186" s="6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69"/>
      <c r="B187" s="69"/>
      <c r="C187" s="69"/>
      <c r="D187" s="69"/>
      <c r="E187" s="69"/>
      <c r="F187" s="69"/>
      <c r="G187" s="6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69"/>
      <c r="B188" s="69"/>
      <c r="C188" s="69"/>
      <c r="D188" s="69"/>
      <c r="E188" s="69"/>
      <c r="F188" s="69"/>
      <c r="G188" s="6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69"/>
      <c r="B189" s="69"/>
      <c r="C189" s="69"/>
      <c r="D189" s="69"/>
      <c r="E189" s="69"/>
      <c r="F189" s="69"/>
      <c r="G189" s="6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69"/>
      <c r="B190" s="69"/>
      <c r="C190" s="69"/>
      <c r="D190" s="69"/>
      <c r="E190" s="69"/>
      <c r="F190" s="69"/>
      <c r="G190" s="6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69"/>
      <c r="B191" s="69"/>
      <c r="C191" s="69"/>
      <c r="D191" s="69"/>
      <c r="E191" s="69"/>
      <c r="F191" s="69"/>
      <c r="G191" s="6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69"/>
      <c r="B192" s="69"/>
      <c r="C192" s="69"/>
      <c r="D192" s="69"/>
      <c r="E192" s="69"/>
      <c r="F192" s="69"/>
      <c r="G192" s="6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69"/>
      <c r="B193" s="69"/>
      <c r="C193" s="69"/>
      <c r="D193" s="69"/>
      <c r="E193" s="69"/>
      <c r="F193" s="69"/>
      <c r="G193" s="6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69"/>
      <c r="B194" s="69"/>
      <c r="C194" s="69"/>
      <c r="D194" s="69"/>
      <c r="E194" s="69"/>
      <c r="F194" s="69"/>
      <c r="G194" s="6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69"/>
      <c r="B195" s="69"/>
      <c r="C195" s="69"/>
      <c r="D195" s="69"/>
      <c r="E195" s="69"/>
      <c r="F195" s="69"/>
      <c r="G195" s="6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69"/>
      <c r="B196" s="69"/>
      <c r="C196" s="69"/>
      <c r="D196" s="69"/>
      <c r="E196" s="69"/>
      <c r="F196" s="69"/>
      <c r="G196" s="6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69"/>
      <c r="B197" s="69"/>
      <c r="C197" s="69"/>
      <c r="D197" s="69"/>
      <c r="E197" s="69"/>
      <c r="F197" s="69"/>
      <c r="G197" s="6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69"/>
      <c r="B198" s="69"/>
      <c r="C198" s="69"/>
      <c r="D198" s="69"/>
      <c r="E198" s="69"/>
      <c r="F198" s="69"/>
      <c r="G198" s="6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69"/>
      <c r="B199" s="69"/>
      <c r="C199" s="69"/>
      <c r="D199" s="69"/>
      <c r="E199" s="69"/>
      <c r="F199" s="69"/>
      <c r="G199" s="6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69"/>
      <c r="B200" s="69"/>
      <c r="C200" s="69"/>
      <c r="D200" s="69"/>
      <c r="E200" s="69"/>
      <c r="F200" s="69"/>
      <c r="G200" s="6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69"/>
      <c r="B201" s="69"/>
      <c r="C201" s="69"/>
      <c r="D201" s="69"/>
      <c r="E201" s="69"/>
      <c r="F201" s="69"/>
      <c r="G201" s="6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69"/>
      <c r="B202" s="69"/>
      <c r="C202" s="69"/>
      <c r="D202" s="69"/>
      <c r="E202" s="69"/>
      <c r="F202" s="69"/>
      <c r="G202" s="6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69"/>
      <c r="B203" s="69"/>
      <c r="C203" s="69"/>
      <c r="D203" s="69"/>
      <c r="E203" s="69"/>
      <c r="F203" s="69"/>
      <c r="G203" s="6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69"/>
      <c r="B204" s="69"/>
      <c r="C204" s="69"/>
      <c r="D204" s="69"/>
      <c r="E204" s="69"/>
      <c r="F204" s="69"/>
      <c r="G204" s="6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69"/>
      <c r="B205" s="69"/>
      <c r="C205" s="69"/>
      <c r="D205" s="69"/>
      <c r="E205" s="69"/>
      <c r="F205" s="69"/>
      <c r="G205" s="6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69"/>
      <c r="B206" s="69"/>
      <c r="C206" s="69"/>
      <c r="D206" s="69"/>
      <c r="E206" s="69"/>
      <c r="F206" s="69"/>
      <c r="G206" s="6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69"/>
      <c r="B207" s="69"/>
      <c r="C207" s="69"/>
      <c r="D207" s="69"/>
      <c r="E207" s="69"/>
      <c r="F207" s="69"/>
      <c r="G207" s="6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69"/>
      <c r="B208" s="69"/>
      <c r="C208" s="69"/>
      <c r="D208" s="69"/>
      <c r="E208" s="69"/>
      <c r="F208" s="69"/>
      <c r="G208" s="6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69"/>
      <c r="B209" s="69"/>
      <c r="C209" s="69"/>
      <c r="D209" s="69"/>
      <c r="E209" s="69"/>
      <c r="F209" s="69"/>
      <c r="G209" s="6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69"/>
      <c r="B210" s="69"/>
      <c r="C210" s="69"/>
      <c r="D210" s="69"/>
      <c r="E210" s="69"/>
      <c r="F210" s="69"/>
      <c r="G210" s="6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69"/>
      <c r="B211" s="69"/>
      <c r="C211" s="69"/>
      <c r="D211" s="69"/>
      <c r="E211" s="69"/>
      <c r="F211" s="69"/>
      <c r="G211" s="6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69"/>
      <c r="B212" s="69"/>
      <c r="C212" s="69"/>
      <c r="D212" s="69"/>
      <c r="E212" s="69"/>
      <c r="F212" s="69"/>
      <c r="G212" s="6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69"/>
      <c r="B213" s="69"/>
      <c r="C213" s="69"/>
      <c r="D213" s="69"/>
      <c r="E213" s="69"/>
      <c r="F213" s="69"/>
      <c r="G213" s="6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69"/>
      <c r="B214" s="69"/>
      <c r="C214" s="69"/>
      <c r="D214" s="69"/>
      <c r="E214" s="69"/>
      <c r="F214" s="69"/>
      <c r="G214" s="6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69"/>
      <c r="B215" s="69"/>
      <c r="C215" s="69"/>
      <c r="D215" s="69"/>
      <c r="E215" s="69"/>
      <c r="F215" s="69"/>
      <c r="G215" s="6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69"/>
      <c r="B216" s="69"/>
      <c r="C216" s="69"/>
      <c r="D216" s="69"/>
      <c r="E216" s="69"/>
      <c r="F216" s="69"/>
      <c r="G216" s="6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69"/>
      <c r="B217" s="69"/>
      <c r="C217" s="69"/>
      <c r="D217" s="69"/>
      <c r="E217" s="69"/>
      <c r="F217" s="69"/>
      <c r="G217" s="6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69"/>
      <c r="B218" s="69"/>
      <c r="C218" s="69"/>
      <c r="D218" s="69"/>
      <c r="E218" s="69"/>
      <c r="F218" s="69"/>
      <c r="G218" s="6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69"/>
      <c r="B219" s="69"/>
      <c r="C219" s="69"/>
      <c r="D219" s="69"/>
      <c r="E219" s="69"/>
      <c r="F219" s="69"/>
      <c r="G219" s="6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69"/>
      <c r="B220" s="69"/>
      <c r="C220" s="69"/>
      <c r="D220" s="69"/>
      <c r="E220" s="69"/>
      <c r="F220" s="69"/>
      <c r="G220" s="6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69"/>
      <c r="B221" s="69"/>
      <c r="C221" s="69"/>
      <c r="D221" s="69"/>
      <c r="E221" s="69"/>
      <c r="F221" s="69"/>
      <c r="G221" s="6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69"/>
      <c r="B222" s="69"/>
      <c r="C222" s="69"/>
      <c r="D222" s="69"/>
      <c r="E222" s="69"/>
      <c r="F222" s="69"/>
      <c r="G222" s="6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69"/>
      <c r="B223" s="69"/>
      <c r="C223" s="69"/>
      <c r="D223" s="69"/>
      <c r="E223" s="69"/>
      <c r="F223" s="69"/>
      <c r="G223" s="6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69"/>
      <c r="B224" s="69"/>
      <c r="C224" s="69"/>
      <c r="D224" s="69"/>
      <c r="E224" s="69"/>
      <c r="F224" s="69"/>
      <c r="G224" s="6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69"/>
      <c r="B225" s="69"/>
      <c r="C225" s="69"/>
      <c r="D225" s="69"/>
      <c r="E225" s="69"/>
      <c r="F225" s="69"/>
      <c r="G225" s="6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69"/>
      <c r="B226" s="69"/>
      <c r="C226" s="69"/>
      <c r="D226" s="69"/>
      <c r="E226" s="69"/>
      <c r="F226" s="69"/>
      <c r="G226" s="6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69"/>
      <c r="B227" s="69"/>
      <c r="C227" s="69"/>
      <c r="D227" s="69"/>
      <c r="E227" s="69"/>
      <c r="F227" s="69"/>
      <c r="G227" s="6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69"/>
      <c r="B228" s="69"/>
      <c r="C228" s="69"/>
      <c r="D228" s="69"/>
      <c r="E228" s="69"/>
      <c r="F228" s="69"/>
      <c r="G228" s="6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69"/>
      <c r="B229" s="69"/>
      <c r="C229" s="69"/>
      <c r="D229" s="69"/>
      <c r="E229" s="69"/>
      <c r="F229" s="69"/>
      <c r="G229" s="6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69"/>
      <c r="B230" s="69"/>
      <c r="C230" s="69"/>
      <c r="D230" s="69"/>
      <c r="E230" s="69"/>
      <c r="F230" s="69"/>
      <c r="G230" s="6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69"/>
      <c r="B231" s="69"/>
      <c r="C231" s="69"/>
      <c r="D231" s="69"/>
      <c r="E231" s="69"/>
      <c r="F231" s="69"/>
      <c r="G231" s="6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69"/>
      <c r="B232" s="69"/>
      <c r="C232" s="69"/>
      <c r="D232" s="69"/>
      <c r="E232" s="69"/>
      <c r="F232" s="69"/>
      <c r="G232" s="6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69"/>
      <c r="B233" s="69"/>
      <c r="C233" s="69"/>
      <c r="D233" s="69"/>
      <c r="E233" s="69"/>
      <c r="F233" s="69"/>
      <c r="G233" s="6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69"/>
      <c r="B234" s="69"/>
      <c r="C234" s="69"/>
      <c r="D234" s="69"/>
      <c r="E234" s="69"/>
      <c r="F234" s="69"/>
      <c r="G234" s="6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69"/>
      <c r="B235" s="69"/>
      <c r="C235" s="69"/>
      <c r="D235" s="69"/>
      <c r="E235" s="69"/>
      <c r="F235" s="69"/>
      <c r="G235" s="6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69"/>
      <c r="B236" s="69"/>
      <c r="C236" s="69"/>
      <c r="D236" s="69"/>
      <c r="E236" s="69"/>
      <c r="F236" s="69"/>
      <c r="G236" s="6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69"/>
      <c r="B237" s="69"/>
      <c r="C237" s="69"/>
      <c r="D237" s="69"/>
      <c r="E237" s="69"/>
      <c r="F237" s="69"/>
      <c r="G237" s="6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69"/>
      <c r="B238" s="69"/>
      <c r="C238" s="69"/>
      <c r="D238" s="69"/>
      <c r="E238" s="69"/>
      <c r="F238" s="69"/>
      <c r="G238" s="6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69"/>
      <c r="B239" s="69"/>
      <c r="C239" s="69"/>
      <c r="D239" s="69"/>
      <c r="E239" s="69"/>
      <c r="F239" s="69"/>
      <c r="G239" s="6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69"/>
      <c r="B240" s="69"/>
      <c r="C240" s="69"/>
      <c r="D240" s="69"/>
      <c r="E240" s="69"/>
      <c r="F240" s="69"/>
      <c r="G240" s="6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69"/>
      <c r="B241" s="69"/>
      <c r="C241" s="69"/>
      <c r="D241" s="69"/>
      <c r="E241" s="69"/>
      <c r="F241" s="69"/>
      <c r="G241" s="6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69"/>
      <c r="B242" s="69"/>
      <c r="C242" s="69"/>
      <c r="D242" s="69"/>
      <c r="E242" s="69"/>
      <c r="F242" s="69"/>
      <c r="G242" s="6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69"/>
      <c r="B243" s="69"/>
      <c r="C243" s="69"/>
      <c r="D243" s="69"/>
      <c r="E243" s="69"/>
      <c r="F243" s="69"/>
      <c r="G243" s="6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69"/>
      <c r="B244" s="69"/>
      <c r="C244" s="69"/>
      <c r="D244" s="69"/>
      <c r="E244" s="69"/>
      <c r="F244" s="69"/>
      <c r="G244" s="6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69"/>
      <c r="B245" s="69"/>
      <c r="C245" s="69"/>
      <c r="D245" s="69"/>
      <c r="E245" s="69"/>
      <c r="F245" s="69"/>
      <c r="G245" s="6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69"/>
      <c r="B246" s="69"/>
      <c r="C246" s="69"/>
      <c r="D246" s="69"/>
      <c r="E246" s="69"/>
      <c r="F246" s="69"/>
      <c r="G246" s="6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69"/>
      <c r="B247" s="69"/>
      <c r="C247" s="69"/>
      <c r="D247" s="69"/>
      <c r="E247" s="69"/>
      <c r="F247" s="69"/>
      <c r="G247" s="6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69"/>
      <c r="B248" s="69"/>
      <c r="C248" s="69"/>
      <c r="D248" s="69"/>
      <c r="E248" s="69"/>
      <c r="F248" s="69"/>
      <c r="G248" s="6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69"/>
      <c r="B249" s="69"/>
      <c r="C249" s="69"/>
      <c r="D249" s="69"/>
      <c r="E249" s="69"/>
      <c r="F249" s="69"/>
      <c r="G249" s="6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69"/>
      <c r="B250" s="69"/>
      <c r="C250" s="69"/>
      <c r="D250" s="69"/>
      <c r="E250" s="69"/>
      <c r="F250" s="69"/>
      <c r="G250" s="6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69"/>
      <c r="B251" s="69"/>
      <c r="C251" s="69"/>
      <c r="D251" s="69"/>
      <c r="E251" s="69"/>
      <c r="F251" s="69"/>
      <c r="G251" s="6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69"/>
      <c r="B252" s="69"/>
      <c r="C252" s="69"/>
      <c r="D252" s="69"/>
      <c r="E252" s="69"/>
      <c r="F252" s="69"/>
      <c r="G252" s="6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69"/>
      <c r="B253" s="69"/>
      <c r="C253" s="69"/>
      <c r="D253" s="69"/>
      <c r="E253" s="69"/>
      <c r="F253" s="69"/>
      <c r="G253" s="6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69"/>
      <c r="B254" s="69"/>
      <c r="C254" s="69"/>
      <c r="D254" s="69"/>
      <c r="E254" s="69"/>
      <c r="F254" s="69"/>
      <c r="G254" s="6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69"/>
      <c r="B255" s="69"/>
      <c r="C255" s="69"/>
      <c r="D255" s="69"/>
      <c r="E255" s="69"/>
      <c r="F255" s="69"/>
      <c r="G255" s="6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69"/>
      <c r="B256" s="69"/>
      <c r="C256" s="69"/>
      <c r="D256" s="69"/>
      <c r="E256" s="69"/>
      <c r="F256" s="69"/>
      <c r="G256" s="6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69"/>
      <c r="B257" s="69"/>
      <c r="C257" s="69"/>
      <c r="D257" s="69"/>
      <c r="E257" s="69"/>
      <c r="F257" s="69"/>
      <c r="G257" s="6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69"/>
      <c r="B258" s="69"/>
      <c r="C258" s="69"/>
      <c r="D258" s="69"/>
      <c r="E258" s="69"/>
      <c r="F258" s="69"/>
      <c r="G258" s="6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69"/>
      <c r="B259" s="69"/>
      <c r="C259" s="69"/>
      <c r="D259" s="69"/>
      <c r="E259" s="69"/>
      <c r="F259" s="69"/>
      <c r="G259" s="6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69"/>
      <c r="B260" s="69"/>
      <c r="C260" s="69"/>
      <c r="D260" s="69"/>
      <c r="E260" s="69"/>
      <c r="F260" s="69"/>
      <c r="G260" s="6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69"/>
      <c r="B261" s="69"/>
      <c r="C261" s="69"/>
      <c r="D261" s="69"/>
      <c r="E261" s="69"/>
      <c r="F261" s="69"/>
      <c r="G261" s="6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69"/>
      <c r="B262" s="69"/>
      <c r="C262" s="69"/>
      <c r="D262" s="69"/>
      <c r="E262" s="69"/>
      <c r="F262" s="69"/>
      <c r="G262" s="6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69"/>
      <c r="B263" s="69"/>
      <c r="C263" s="69"/>
      <c r="D263" s="69"/>
      <c r="E263" s="69"/>
      <c r="F263" s="69"/>
      <c r="G263" s="6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69"/>
      <c r="B264" s="69"/>
      <c r="C264" s="69"/>
      <c r="D264" s="69"/>
      <c r="E264" s="69"/>
      <c r="F264" s="69"/>
      <c r="G264" s="6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69"/>
      <c r="B265" s="69"/>
      <c r="C265" s="69"/>
      <c r="D265" s="69"/>
      <c r="E265" s="69"/>
      <c r="F265" s="69"/>
      <c r="G265" s="6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69"/>
      <c r="B266" s="69"/>
      <c r="C266" s="69"/>
      <c r="D266" s="69"/>
      <c r="E266" s="69"/>
      <c r="F266" s="69"/>
      <c r="G266" s="6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69"/>
      <c r="B267" s="69"/>
      <c r="C267" s="69"/>
      <c r="D267" s="69"/>
      <c r="E267" s="69"/>
      <c r="F267" s="69"/>
      <c r="G267" s="6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69"/>
      <c r="B268" s="69"/>
      <c r="C268" s="69"/>
      <c r="D268" s="69"/>
      <c r="E268" s="69"/>
      <c r="F268" s="69"/>
      <c r="G268" s="6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69"/>
      <c r="B269" s="69"/>
      <c r="C269" s="69"/>
      <c r="D269" s="69"/>
      <c r="E269" s="69"/>
      <c r="F269" s="69"/>
      <c r="G269" s="6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69"/>
      <c r="B270" s="69"/>
      <c r="C270" s="69"/>
      <c r="D270" s="69"/>
      <c r="E270" s="69"/>
      <c r="F270" s="69"/>
      <c r="G270" s="6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69"/>
      <c r="B271" s="69"/>
      <c r="C271" s="69"/>
      <c r="D271" s="69"/>
      <c r="E271" s="69"/>
      <c r="F271" s="69"/>
      <c r="G271" s="6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69"/>
      <c r="B272" s="69"/>
      <c r="C272" s="69"/>
      <c r="D272" s="69"/>
      <c r="E272" s="69"/>
      <c r="F272" s="69"/>
      <c r="G272" s="6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69"/>
      <c r="B273" s="69"/>
      <c r="C273" s="69"/>
      <c r="D273" s="69"/>
      <c r="E273" s="69"/>
      <c r="F273" s="69"/>
      <c r="G273" s="6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69"/>
      <c r="B274" s="69"/>
      <c r="C274" s="69"/>
      <c r="D274" s="69"/>
      <c r="E274" s="69"/>
      <c r="F274" s="69"/>
      <c r="G274" s="6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69"/>
      <c r="B275" s="69"/>
      <c r="C275" s="69"/>
      <c r="D275" s="69"/>
      <c r="E275" s="69"/>
      <c r="F275" s="69"/>
      <c r="G275" s="6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69"/>
      <c r="B276" s="69"/>
      <c r="C276" s="69"/>
      <c r="D276" s="69"/>
      <c r="E276" s="69"/>
      <c r="F276" s="69"/>
      <c r="G276" s="6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69"/>
      <c r="B277" s="69"/>
      <c r="C277" s="69"/>
      <c r="D277" s="69"/>
      <c r="E277" s="69"/>
      <c r="F277" s="69"/>
      <c r="G277" s="6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69"/>
      <c r="B278" s="69"/>
      <c r="C278" s="69"/>
      <c r="D278" s="69"/>
      <c r="E278" s="69"/>
      <c r="F278" s="69"/>
      <c r="G278" s="6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69"/>
      <c r="B279" s="69"/>
      <c r="C279" s="69"/>
      <c r="D279" s="69"/>
      <c r="E279" s="69"/>
      <c r="F279" s="69"/>
      <c r="G279" s="6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69"/>
      <c r="B280" s="69"/>
      <c r="C280" s="69"/>
      <c r="D280" s="69"/>
      <c r="E280" s="69"/>
      <c r="F280" s="69"/>
      <c r="G280" s="6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69"/>
      <c r="B281" s="69"/>
      <c r="C281" s="69"/>
      <c r="D281" s="69"/>
      <c r="E281" s="69"/>
      <c r="F281" s="69"/>
      <c r="G281" s="6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69"/>
      <c r="B282" s="69"/>
      <c r="C282" s="69"/>
      <c r="D282" s="69"/>
      <c r="E282" s="69"/>
      <c r="F282" s="69"/>
      <c r="G282" s="6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69"/>
      <c r="B283" s="69"/>
      <c r="C283" s="69"/>
      <c r="D283" s="69"/>
      <c r="E283" s="69"/>
      <c r="F283" s="69"/>
      <c r="G283" s="6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69"/>
      <c r="B284" s="69"/>
      <c r="C284" s="69"/>
      <c r="D284" s="69"/>
      <c r="E284" s="69"/>
      <c r="F284" s="69"/>
      <c r="G284" s="6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69"/>
      <c r="B285" s="69"/>
      <c r="C285" s="69"/>
      <c r="D285" s="69"/>
      <c r="E285" s="69"/>
      <c r="F285" s="69"/>
      <c r="G285" s="6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69"/>
      <c r="B286" s="69"/>
      <c r="C286" s="69"/>
      <c r="D286" s="69"/>
      <c r="E286" s="69"/>
      <c r="F286" s="69"/>
      <c r="G286" s="6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69"/>
      <c r="B287" s="69"/>
      <c r="C287" s="69"/>
      <c r="D287" s="69"/>
      <c r="E287" s="69"/>
      <c r="F287" s="69"/>
      <c r="G287" s="6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69"/>
      <c r="B288" s="69"/>
      <c r="C288" s="69"/>
      <c r="D288" s="69"/>
      <c r="E288" s="69"/>
      <c r="F288" s="69"/>
      <c r="G288" s="6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69"/>
      <c r="B289" s="69"/>
      <c r="C289" s="69"/>
      <c r="D289" s="69"/>
      <c r="E289" s="69"/>
      <c r="F289" s="69"/>
      <c r="G289" s="6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69"/>
      <c r="B290" s="69"/>
      <c r="C290" s="69"/>
      <c r="D290" s="69"/>
      <c r="E290" s="69"/>
      <c r="F290" s="69"/>
      <c r="G290" s="6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69"/>
      <c r="B291" s="69"/>
      <c r="C291" s="69"/>
      <c r="D291" s="69"/>
      <c r="E291" s="69"/>
      <c r="F291" s="69"/>
      <c r="G291" s="6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69"/>
      <c r="B292" s="69"/>
      <c r="C292" s="69"/>
      <c r="D292" s="69"/>
      <c r="E292" s="69"/>
      <c r="F292" s="69"/>
      <c r="G292" s="6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69"/>
      <c r="B293" s="69"/>
      <c r="C293" s="69"/>
      <c r="D293" s="69"/>
      <c r="E293" s="69"/>
      <c r="F293" s="69"/>
      <c r="G293" s="6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69"/>
      <c r="B294" s="69"/>
      <c r="C294" s="69"/>
      <c r="D294" s="69"/>
      <c r="E294" s="69"/>
      <c r="F294" s="69"/>
      <c r="G294" s="6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69"/>
      <c r="B295" s="69"/>
      <c r="C295" s="69"/>
      <c r="D295" s="69"/>
      <c r="E295" s="69"/>
      <c r="F295" s="69"/>
      <c r="G295" s="6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69"/>
      <c r="B296" s="69"/>
      <c r="C296" s="69"/>
      <c r="D296" s="69"/>
      <c r="E296" s="69"/>
      <c r="F296" s="69"/>
      <c r="G296" s="6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69"/>
      <c r="B297" s="69"/>
      <c r="C297" s="69"/>
      <c r="D297" s="69"/>
      <c r="E297" s="69"/>
      <c r="F297" s="69"/>
      <c r="G297" s="6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69"/>
      <c r="B298" s="69"/>
      <c r="C298" s="69"/>
      <c r="D298" s="69"/>
      <c r="E298" s="69"/>
      <c r="F298" s="69"/>
      <c r="G298" s="6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69"/>
      <c r="B299" s="69"/>
      <c r="C299" s="69"/>
      <c r="D299" s="69"/>
      <c r="E299" s="69"/>
      <c r="F299" s="69"/>
      <c r="G299" s="6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69"/>
      <c r="B300" s="69"/>
      <c r="C300" s="69"/>
      <c r="D300" s="69"/>
      <c r="E300" s="69"/>
      <c r="F300" s="69"/>
      <c r="G300" s="6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4">
    <mergeCell ref="A1:G1"/>
    <mergeCell ref="A2:G2"/>
    <mergeCell ref="A3:G3"/>
    <mergeCell ref="A4:G4"/>
  </mergeCells>
  <dataValidations>
    <dataValidation type="list" allowBlank="1" sqref="D6:D100">
      <formula1>"KG,LITRO,UNIDAD"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FAF8A"/>
    <pageSetUpPr/>
  </sheetPr>
  <sheetViews>
    <sheetView showGridLines="0" workbookViewId="0">
      <pane ySplit="23.0" topLeftCell="A24" activePane="bottomLeft" state="frozen"/>
      <selection activeCell="B25" sqref="B25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18.0"/>
    <col customWidth="1" min="4" max="4" width="16.0"/>
    <col customWidth="1" min="5" max="5" width="14.0"/>
    <col customWidth="1" min="6" max="6" width="20.0"/>
  </cols>
  <sheetData>
    <row r="1">
      <c r="A1" s="2"/>
      <c r="B1" s="3"/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75" customHeight="1">
      <c r="A2" s="5" t="s">
        <v>130</v>
      </c>
      <c r="B2" s="3"/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7" t="s">
        <v>131</v>
      </c>
      <c r="B3" s="3"/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9"/>
      <c r="B4" s="3"/>
      <c r="C4" s="3"/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71" t="s">
        <v>132</v>
      </c>
      <c r="B5" s="19"/>
      <c r="C5" s="19"/>
      <c r="D5" s="19"/>
      <c r="E5" s="19"/>
      <c r="F5" s="2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72"/>
      <c r="B6" s="73" t="s">
        <v>133</v>
      </c>
      <c r="C6" s="74" t="s">
        <v>134</v>
      </c>
      <c r="D6" s="75"/>
      <c r="E6" s="75"/>
      <c r="F6" s="7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72"/>
      <c r="B7" s="73" t="s">
        <v>135</v>
      </c>
      <c r="C7" s="77"/>
      <c r="D7" s="75"/>
      <c r="E7" s="75"/>
      <c r="F7" s="7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72"/>
      <c r="B8" s="73" t="s">
        <v>136</v>
      </c>
      <c r="C8" s="77"/>
      <c r="D8" s="76"/>
      <c r="E8" s="69"/>
      <c r="F8" s="6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72"/>
      <c r="B9" s="73" t="s">
        <v>137</v>
      </c>
      <c r="C9" s="78">
        <f>TODAY()</f>
        <v>46226</v>
      </c>
      <c r="D9" s="76"/>
      <c r="E9" s="69"/>
      <c r="F9" s="6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.5" customHeight="1">
      <c r="A10" s="2"/>
      <c r="B10" s="3"/>
      <c r="C10" s="3"/>
      <c r="D10" s="3"/>
      <c r="E10" s="3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79" t="s">
        <v>138</v>
      </c>
      <c r="B11" s="3"/>
      <c r="C11" s="3"/>
      <c r="D11" s="3"/>
      <c r="E11" s="3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1" t="s">
        <v>6</v>
      </c>
      <c r="B12" s="80" t="s">
        <v>7</v>
      </c>
      <c r="C12" s="11" t="s">
        <v>139</v>
      </c>
      <c r="D12" s="80" t="s">
        <v>140</v>
      </c>
      <c r="E12" s="11" t="s">
        <v>9</v>
      </c>
      <c r="F12" s="11" t="s">
        <v>141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81">
        <v>1.0</v>
      </c>
      <c r="B13" s="82" t="s">
        <v>87</v>
      </c>
      <c r="C13" s="83">
        <f>IFERROR(VLOOKUP(B13,'🧂 INGREDIENTES'!$B$6:$D$500,2,0),"")</f>
        <v>460</v>
      </c>
      <c r="D13" s="84">
        <v>510.0</v>
      </c>
      <c r="E13" s="85" t="str">
        <f>IFERROR(VLOOKUP(B13,'🧂 INGREDIENTES'!$B$6:$D$500,3,0),"")</f>
        <v>KG</v>
      </c>
      <c r="F13" s="86">
        <f t="shared" ref="F13:F41" si="1">IFERROR(IF(C13="","",IF((E13="KG")+(E13="LITRO")+(E13="GR")+(E13="ML"),C13*D13/1000,C13*D13)),"")</f>
        <v>234.6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81">
        <v>2.0</v>
      </c>
      <c r="B14" s="87" t="s">
        <v>14</v>
      </c>
      <c r="C14" s="88">
        <f>IFERROR(VLOOKUP(B14,'🧂 INGREDIENTES'!$B$6:$D$500,2,0),"")</f>
        <v>40</v>
      </c>
      <c r="D14" s="89">
        <v>500.0</v>
      </c>
      <c r="E14" s="85" t="str">
        <f>IFERROR(VLOOKUP(B14,'🧂 INGREDIENTES'!$B$6:$D$500,3,0),"")</f>
        <v>KG</v>
      </c>
      <c r="F14" s="86">
        <f t="shared" si="1"/>
        <v>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81">
        <v>3.0</v>
      </c>
      <c r="B15" s="82" t="s">
        <v>71</v>
      </c>
      <c r="C15" s="88">
        <f>IFERROR(VLOOKUP(B15,'🧂 INGREDIENTES'!$B$6:$D$500,2,0),"")</f>
        <v>5000</v>
      </c>
      <c r="D15" s="84">
        <v>100.0</v>
      </c>
      <c r="E15" s="85" t="str">
        <f>IFERROR(VLOOKUP(B15,'🧂 INGREDIENTES'!$B$6:$D$500,3,0),"")</f>
        <v>KG</v>
      </c>
      <c r="F15" s="86">
        <f t="shared" si="1"/>
        <v>500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90">
        <v>4.0</v>
      </c>
      <c r="B16" s="82" t="s">
        <v>20</v>
      </c>
      <c r="C16" s="88">
        <f>IFERROR(VLOOKUP(B16,'🧂 INGREDIENTES'!$B$6:$D$500,2,0),"")</f>
        <v>50</v>
      </c>
      <c r="D16" s="91"/>
      <c r="E16" s="85" t="str">
        <f>IFERROR(VLOOKUP(B16,'🧂 INGREDIENTES'!$B$6:$D$500,3,0),"")</f>
        <v>KG</v>
      </c>
      <c r="F16" s="86">
        <f t="shared" si="1"/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90">
        <v>5.0</v>
      </c>
      <c r="B17" s="92"/>
      <c r="C17" s="88" t="str">
        <f>IFERROR(VLOOKUP(B17,'🧂 INGREDIENTES'!$B$6:$D$500,2,0),"")</f>
        <v/>
      </c>
      <c r="D17" s="93"/>
      <c r="E17" s="85" t="str">
        <f>IFERROR(VLOOKUP(B17,'🧂 INGREDIENTES'!$B$6:$D$500,3,0),"")</f>
        <v/>
      </c>
      <c r="F17" s="86" t="str">
        <f t="shared" si="1"/>
        <v/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90">
        <v>6.0</v>
      </c>
      <c r="B18" s="94"/>
      <c r="C18" s="88" t="str">
        <f>IFERROR(VLOOKUP(B18,'🧂 INGREDIENTES'!$B$6:$D$500,2,0),"")</f>
        <v/>
      </c>
      <c r="D18" s="96"/>
      <c r="E18" s="85" t="str">
        <f>IFERROR(VLOOKUP(B18,'🧂 INGREDIENTES'!$B$6:$D$500,3,0),"")</f>
        <v/>
      </c>
      <c r="F18" s="86" t="str">
        <f t="shared" si="1"/>
        <v/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90">
        <v>7.0</v>
      </c>
      <c r="B19" s="92"/>
      <c r="C19" s="88" t="str">
        <f>IFERROR(VLOOKUP(B19,'🧂 INGREDIENTES'!$B$6:$D$500,2,0),"")</f>
        <v/>
      </c>
      <c r="D19" s="93"/>
      <c r="E19" s="85" t="str">
        <f>IFERROR(VLOOKUP(B19,'🧂 INGREDIENTES'!$B$6:$D$500,3,0),"")</f>
        <v/>
      </c>
      <c r="F19" s="86" t="str">
        <f t="shared" si="1"/>
        <v/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81">
        <f t="shared" ref="A20:A41" si="2">A19+1</f>
        <v>8</v>
      </c>
      <c r="B20" s="94"/>
      <c r="C20" s="88" t="str">
        <f>IFERROR(VLOOKUP(B20,'🧂 INGREDIENTES'!$B$6:$D$500,2,0),"")</f>
        <v/>
      </c>
      <c r="D20" s="106"/>
      <c r="E20" s="85" t="str">
        <f>IFERROR(VLOOKUP(B20,'🧂 INGREDIENTES'!$B$6:$D$500,3,0),"")</f>
        <v/>
      </c>
      <c r="F20" s="86" t="str">
        <f t="shared" si="1"/>
        <v/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81">
        <f t="shared" si="2"/>
        <v>9</v>
      </c>
      <c r="B21" s="92"/>
      <c r="C21" s="88" t="str">
        <f>IFERROR(VLOOKUP(B21,'🧂 INGREDIENTES'!$B$6:$D$500,2,0),"")</f>
        <v/>
      </c>
      <c r="D21" s="112"/>
      <c r="E21" s="85" t="str">
        <f>IFERROR(VLOOKUP(B21,'🧂 INGREDIENTES'!$B$6:$D$500,3,0),"")</f>
        <v/>
      </c>
      <c r="F21" s="86" t="str">
        <f t="shared" si="1"/>
        <v/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81">
        <f t="shared" si="2"/>
        <v>10</v>
      </c>
      <c r="B22" s="94"/>
      <c r="C22" s="88" t="str">
        <f>IFERROR(VLOOKUP(B22,'🧂 INGREDIENTES'!$B$6:$D$500,2,0),"")</f>
        <v/>
      </c>
      <c r="D22" s="113"/>
      <c r="E22" s="85" t="str">
        <f>IFERROR(VLOOKUP(B22,'🧂 INGREDIENTES'!$B$6:$D$500,3,0),"")</f>
        <v/>
      </c>
      <c r="F22" s="86" t="str">
        <f t="shared" si="1"/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81">
        <f t="shared" si="2"/>
        <v>11</v>
      </c>
      <c r="B23" s="92"/>
      <c r="C23" s="88" t="str">
        <f>IFERROR(VLOOKUP(B23,'🧂 INGREDIENTES'!$B$6:$D$500,2,0),"")</f>
        <v/>
      </c>
      <c r="D23" s="112"/>
      <c r="E23" s="85" t="str">
        <f>IFERROR(VLOOKUP(B23,'🧂 INGREDIENTES'!$B$6:$D$500,3,0),"")</f>
        <v/>
      </c>
      <c r="F23" s="86" t="str">
        <f t="shared" si="1"/>
        <v/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81">
        <f t="shared" si="2"/>
        <v>12</v>
      </c>
      <c r="B24" s="114"/>
      <c r="C24" s="88" t="str">
        <f>IFERROR(VLOOKUP(B24,'🧂 INGREDIENTES'!$B$6:$D$500,2,0),"")</f>
        <v/>
      </c>
      <c r="D24" s="115"/>
      <c r="E24" s="85" t="str">
        <f>IFERROR(VLOOKUP(B24,'🧂 INGREDIENTES'!$B$6:$D$500,3,0),"")</f>
        <v/>
      </c>
      <c r="F24" s="86" t="str">
        <f t="shared" si="1"/>
        <v/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81">
        <f t="shared" si="2"/>
        <v>13</v>
      </c>
      <c r="B25" s="105"/>
      <c r="C25" s="88" t="str">
        <f>IFERROR(VLOOKUP(B25,'🧂 INGREDIENTES'!$B$6:$D$500,2,0),"")</f>
        <v/>
      </c>
      <c r="D25" s="100"/>
      <c r="E25" s="85" t="str">
        <f>IFERROR(VLOOKUP(B25,'🧂 INGREDIENTES'!$B$6:$D$500,3,0),"")</f>
        <v/>
      </c>
      <c r="F25" s="86" t="str">
        <f t="shared" si="1"/>
        <v/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81">
        <f t="shared" si="2"/>
        <v>14</v>
      </c>
      <c r="B26" s="114"/>
      <c r="C26" s="88" t="str">
        <f>IFERROR(VLOOKUP(B26,'🧂 INGREDIENTES'!$B$6:$D$500,2,0),"")</f>
        <v/>
      </c>
      <c r="D26" s="115"/>
      <c r="E26" s="85" t="str">
        <f>IFERROR(VLOOKUP(B26,'🧂 INGREDIENTES'!$B$6:$D$500,3,0),"")</f>
        <v/>
      </c>
      <c r="F26" s="86" t="str">
        <f t="shared" si="1"/>
        <v/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81">
        <f t="shared" si="2"/>
        <v>15</v>
      </c>
      <c r="B27" s="105"/>
      <c r="C27" s="88" t="str">
        <f>IFERROR(VLOOKUP(B27,'🧂 INGREDIENTES'!$B$6:$D$500,2,0),"")</f>
        <v/>
      </c>
      <c r="D27" s="100"/>
      <c r="E27" s="85" t="str">
        <f>IFERROR(VLOOKUP(B27,'🧂 INGREDIENTES'!$B$6:$D$500,3,0),"")</f>
        <v/>
      </c>
      <c r="F27" s="86" t="str">
        <f t="shared" si="1"/>
        <v/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81">
        <f t="shared" si="2"/>
        <v>16</v>
      </c>
      <c r="B28" s="114"/>
      <c r="C28" s="88" t="str">
        <f>IFERROR(VLOOKUP(B28,'🧂 INGREDIENTES'!$B$6:$D$500,2,0),"")</f>
        <v/>
      </c>
      <c r="D28" s="115"/>
      <c r="E28" s="85" t="str">
        <f>IFERROR(VLOOKUP(B28,'🧂 INGREDIENTES'!$B$6:$D$500,3,0),"")</f>
        <v/>
      </c>
      <c r="F28" s="86" t="str">
        <f t="shared" si="1"/>
        <v/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81">
        <f t="shared" si="2"/>
        <v>17</v>
      </c>
      <c r="B29" s="105"/>
      <c r="C29" s="88" t="str">
        <f>IFERROR(VLOOKUP(B29,'🧂 INGREDIENTES'!$B$6:$D$500,2,0),"")</f>
        <v/>
      </c>
      <c r="D29" s="100"/>
      <c r="E29" s="85" t="str">
        <f>IFERROR(VLOOKUP(B29,'🧂 INGREDIENTES'!$B$6:$D$500,3,0),"")</f>
        <v/>
      </c>
      <c r="F29" s="86" t="str">
        <f t="shared" si="1"/>
        <v/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81">
        <f t="shared" si="2"/>
        <v>18</v>
      </c>
      <c r="B30" s="114"/>
      <c r="C30" s="88" t="str">
        <f>IFERROR(VLOOKUP(B30,'🧂 INGREDIENTES'!$B$6:$D$500,2,0),"")</f>
        <v/>
      </c>
      <c r="D30" s="115"/>
      <c r="E30" s="85" t="str">
        <f>IFERROR(VLOOKUP(B30,'🧂 INGREDIENTES'!$B$6:$D$500,3,0),"")</f>
        <v/>
      </c>
      <c r="F30" s="86" t="str">
        <f t="shared" si="1"/>
        <v/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81">
        <f t="shared" si="2"/>
        <v>19</v>
      </c>
      <c r="B31" s="105"/>
      <c r="C31" s="88" t="str">
        <f>IFERROR(VLOOKUP(B31,'🧂 INGREDIENTES'!$B$6:$D$500,2,0),"")</f>
        <v/>
      </c>
      <c r="D31" s="100"/>
      <c r="E31" s="85" t="str">
        <f>IFERROR(VLOOKUP(B31,'🧂 INGREDIENTES'!$B$6:$D$500,3,0),"")</f>
        <v/>
      </c>
      <c r="F31" s="86" t="str">
        <f t="shared" si="1"/>
        <v/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81">
        <f t="shared" si="2"/>
        <v>20</v>
      </c>
      <c r="B32" s="114"/>
      <c r="C32" s="144" t="str">
        <f>IFERROR(VLOOKUP(B32,'🧂 INGREDIENTES'!$B$6:$D$500,2,0),"")</f>
        <v/>
      </c>
      <c r="D32" s="145"/>
      <c r="E32" s="144" t="str">
        <f>IFERROR(VLOOKUP(B32,'🧂 INGREDIENTES'!$B$6:$D$500,3,0),"")</f>
        <v/>
      </c>
      <c r="F32" s="146" t="str">
        <f t="shared" si="1"/>
        <v/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81">
        <f t="shared" si="2"/>
        <v>21</v>
      </c>
      <c r="B33" s="105"/>
      <c r="C33" s="144" t="str">
        <f>IFERROR(VLOOKUP(B33,'🧂 INGREDIENTES'!$B$6:$D$500,2,0),"")</f>
        <v/>
      </c>
      <c r="D33" s="149"/>
      <c r="E33" s="144" t="str">
        <f>IFERROR(VLOOKUP(B33,'🧂 INGREDIENTES'!$B$6:$D$500,3,0),"")</f>
        <v/>
      </c>
      <c r="F33" s="146" t="str">
        <f t="shared" si="1"/>
        <v/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81">
        <f t="shared" si="2"/>
        <v>22</v>
      </c>
      <c r="B34" s="114"/>
      <c r="C34" s="144" t="str">
        <f>IFERROR(VLOOKUP(B34,'🧂 INGREDIENTES'!$B$6:$D$500,2,0),"")</f>
        <v/>
      </c>
      <c r="D34" s="145"/>
      <c r="E34" s="144" t="str">
        <f>IFERROR(VLOOKUP(B34,'🧂 INGREDIENTES'!$B$6:$D$500,3,0),"")</f>
        <v/>
      </c>
      <c r="F34" s="146" t="str">
        <f t="shared" si="1"/>
        <v/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81">
        <f t="shared" si="2"/>
        <v>23</v>
      </c>
      <c r="B35" s="105"/>
      <c r="C35" s="144" t="str">
        <f>IFERROR(VLOOKUP(B35,'🧂 INGREDIENTES'!$B$6:$D$500,2,0),"")</f>
        <v/>
      </c>
      <c r="D35" s="149"/>
      <c r="E35" s="144" t="str">
        <f>IFERROR(VLOOKUP(B35,'🧂 INGREDIENTES'!$B$6:$D$500,3,0),"")</f>
        <v/>
      </c>
      <c r="F35" s="146" t="str">
        <f t="shared" si="1"/>
        <v/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81">
        <f t="shared" si="2"/>
        <v>24</v>
      </c>
      <c r="B36" s="114"/>
      <c r="C36" s="144" t="str">
        <f>IFERROR(VLOOKUP(B36,'🧂 INGREDIENTES'!$B$6:$D$500,2,0),"")</f>
        <v/>
      </c>
      <c r="D36" s="145"/>
      <c r="E36" s="144" t="str">
        <f>IFERROR(VLOOKUP(B36,'🧂 INGREDIENTES'!$B$6:$D$500,3,0),"")</f>
        <v/>
      </c>
      <c r="F36" s="146" t="str">
        <f t="shared" si="1"/>
        <v/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81">
        <f t="shared" si="2"/>
        <v>25</v>
      </c>
      <c r="B37" s="105"/>
      <c r="C37" s="144" t="str">
        <f>IFERROR(VLOOKUP(B37,'🧂 INGREDIENTES'!$B$6:$D$500,2,0),"")</f>
        <v/>
      </c>
      <c r="D37" s="149"/>
      <c r="E37" s="144" t="str">
        <f>IFERROR(VLOOKUP(B37,'🧂 INGREDIENTES'!$B$6:$D$500,3,0),"")</f>
        <v/>
      </c>
      <c r="F37" s="146" t="str">
        <f t="shared" si="1"/>
        <v/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81">
        <f t="shared" si="2"/>
        <v>26</v>
      </c>
      <c r="B38" s="114"/>
      <c r="C38" s="144" t="str">
        <f>IFERROR(VLOOKUP(B38,'🧂 INGREDIENTES'!$B$6:$D$500,2,0),"")</f>
        <v/>
      </c>
      <c r="D38" s="145"/>
      <c r="E38" s="144" t="str">
        <f>IFERROR(VLOOKUP(B38,'🧂 INGREDIENTES'!$B$6:$D$500,3,0),"")</f>
        <v/>
      </c>
      <c r="F38" s="146" t="str">
        <f t="shared" si="1"/>
        <v/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81">
        <f t="shared" si="2"/>
        <v>27</v>
      </c>
      <c r="B39" s="105"/>
      <c r="C39" s="144" t="str">
        <f>IFERROR(VLOOKUP(B39,'🧂 INGREDIENTES'!$B$6:$D$500,2,0),"")</f>
        <v/>
      </c>
      <c r="D39" s="149"/>
      <c r="E39" s="144" t="str">
        <f>IFERROR(VLOOKUP(B39,'🧂 INGREDIENTES'!$B$6:$D$500,3,0),"")</f>
        <v/>
      </c>
      <c r="F39" s="146" t="str">
        <f t="shared" si="1"/>
        <v/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81">
        <f t="shared" si="2"/>
        <v>28</v>
      </c>
      <c r="B40" s="114"/>
      <c r="C40" s="144" t="str">
        <f>IFERROR(VLOOKUP(B40,'🧂 INGREDIENTES'!$B$6:$D$500,2,0),"")</f>
        <v/>
      </c>
      <c r="D40" s="145"/>
      <c r="E40" s="144" t="str">
        <f>IFERROR(VLOOKUP(B40,'🧂 INGREDIENTES'!$B$6:$D$500,3,0),"")</f>
        <v/>
      </c>
      <c r="F40" s="146" t="str">
        <f t="shared" si="1"/>
        <v/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81">
        <f t="shared" si="2"/>
        <v>29</v>
      </c>
      <c r="B41" s="105"/>
      <c r="C41" s="144" t="str">
        <f>IFERROR(VLOOKUP(B41,'🧂 INGREDIENTES'!$B$6:$D$500,2,0),"")</f>
        <v/>
      </c>
      <c r="D41" s="149"/>
      <c r="E41" s="144" t="str">
        <f>IFERROR(VLOOKUP(B41,'🧂 INGREDIENTES'!$B$6:$D$500,3,0),"")</f>
        <v/>
      </c>
      <c r="F41" s="146" t="str">
        <f t="shared" si="1"/>
        <v/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53" t="s">
        <v>170</v>
      </c>
      <c r="B42" s="3"/>
      <c r="C42" s="3"/>
      <c r="D42" s="3"/>
      <c r="E42" s="4"/>
      <c r="F42" s="154">
        <f>SUM(F13:F41)</f>
        <v>754.6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2"/>
      <c r="B43" s="3"/>
      <c r="C43" s="3"/>
      <c r="D43" s="3"/>
      <c r="E43" s="3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79" t="s">
        <v>171</v>
      </c>
      <c r="B44" s="3"/>
      <c r="C44" s="3"/>
      <c r="D44" s="3"/>
      <c r="E44" s="3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1" t="s">
        <v>6</v>
      </c>
      <c r="B45" s="11" t="s">
        <v>172</v>
      </c>
      <c r="C45" s="11"/>
      <c r="D45" s="11" t="s">
        <v>173</v>
      </c>
      <c r="E45" s="11" t="s">
        <v>174</v>
      </c>
      <c r="F45" s="11" t="s">
        <v>141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57">
        <v>1.0</v>
      </c>
      <c r="B46" s="77" t="s">
        <v>167</v>
      </c>
      <c r="C46" s="158"/>
      <c r="D46" s="106">
        <v>2.0</v>
      </c>
      <c r="E46" s="106">
        <v>0.0</v>
      </c>
      <c r="F46" s="86">
        <f t="shared" ref="F46:F50" si="3">IFERROR(IF(D46="","",D46*E46),"")</f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57">
        <v>2.0</v>
      </c>
      <c r="B47" s="159"/>
      <c r="C47" s="158"/>
      <c r="D47" s="100"/>
      <c r="E47" s="100"/>
      <c r="F47" s="86" t="str">
        <f t="shared" si="3"/>
        <v/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57">
        <v>3.0</v>
      </c>
      <c r="B48" s="160"/>
      <c r="C48" s="158"/>
      <c r="D48" s="115"/>
      <c r="E48" s="115"/>
      <c r="F48" s="86" t="str">
        <f t="shared" si="3"/>
        <v/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57">
        <v>4.0</v>
      </c>
      <c r="B49" s="159"/>
      <c r="C49" s="158"/>
      <c r="D49" s="100"/>
      <c r="E49" s="100"/>
      <c r="F49" s="86" t="str">
        <f t="shared" si="3"/>
        <v/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57">
        <v>5.0</v>
      </c>
      <c r="B50" s="160"/>
      <c r="C50" s="158"/>
      <c r="D50" s="115"/>
      <c r="E50" s="115"/>
      <c r="F50" s="86" t="str">
        <f t="shared" si="3"/>
        <v/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53" t="s">
        <v>175</v>
      </c>
      <c r="B51" s="3"/>
      <c r="C51" s="3"/>
      <c r="D51" s="3"/>
      <c r="E51" s="4"/>
      <c r="F51" s="154">
        <f>SUM(F46:F50)</f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2"/>
      <c r="B52" s="3"/>
      <c r="C52" s="3"/>
      <c r="D52" s="3"/>
      <c r="E52" s="3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79" t="s">
        <v>180</v>
      </c>
      <c r="B53" s="3"/>
      <c r="C53" s="3"/>
      <c r="D53" s="3"/>
      <c r="E53" s="3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1" t="s">
        <v>6</v>
      </c>
      <c r="B54" s="11" t="s">
        <v>181</v>
      </c>
      <c r="C54" s="11" t="s">
        <v>182</v>
      </c>
      <c r="D54" s="11"/>
      <c r="E54" s="11" t="s">
        <v>183</v>
      </c>
      <c r="F54" s="11" t="s">
        <v>184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57">
        <v>1.0</v>
      </c>
      <c r="B55" s="106" t="s">
        <v>185</v>
      </c>
      <c r="C55" s="77" t="s">
        <v>186</v>
      </c>
      <c r="D55" s="76"/>
      <c r="E55" s="106">
        <v>90.0</v>
      </c>
      <c r="F55" s="162">
        <f t="shared" ref="F55:F56" si="4">E55</f>
        <v>90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57">
        <v>2.0</v>
      </c>
      <c r="B56" s="112" t="s">
        <v>185</v>
      </c>
      <c r="C56" s="163" t="s">
        <v>187</v>
      </c>
      <c r="D56" s="76"/>
      <c r="E56" s="112">
        <v>35.0</v>
      </c>
      <c r="F56" s="162">
        <f t="shared" si="4"/>
        <v>35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57">
        <v>3.0</v>
      </c>
      <c r="B57" s="115"/>
      <c r="C57" s="77"/>
      <c r="D57" s="76"/>
      <c r="E57" s="106"/>
      <c r="F57" s="16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57">
        <v>4.0</v>
      </c>
      <c r="B58" s="100"/>
      <c r="C58" s="159"/>
      <c r="D58" s="76"/>
      <c r="E58" s="100"/>
      <c r="F58" s="162" t="str">
        <f t="shared" ref="F58:F62" si="5">E58</f>
        <v/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57">
        <v>5.0</v>
      </c>
      <c r="B59" s="115"/>
      <c r="C59" s="160"/>
      <c r="D59" s="76"/>
      <c r="E59" s="106"/>
      <c r="F59" s="162" t="str">
        <f t="shared" si="5"/>
        <v/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57">
        <v>6.0</v>
      </c>
      <c r="B60" s="100"/>
      <c r="C60" s="159"/>
      <c r="D60" s="76"/>
      <c r="E60" s="100"/>
      <c r="F60" s="162" t="str">
        <f t="shared" si="5"/>
        <v/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57">
        <v>7.0</v>
      </c>
      <c r="B61" s="115"/>
      <c r="C61" s="160"/>
      <c r="D61" s="76"/>
      <c r="E61" s="115"/>
      <c r="F61" s="162" t="str">
        <f t="shared" si="5"/>
        <v/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57">
        <v>8.0</v>
      </c>
      <c r="B62" s="100"/>
      <c r="C62" s="159"/>
      <c r="D62" s="76"/>
      <c r="E62" s="100"/>
      <c r="F62" s="162" t="str">
        <f t="shared" si="5"/>
        <v/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3.75" customHeight="1">
      <c r="A63" s="153" t="s">
        <v>188</v>
      </c>
      <c r="B63" s="3"/>
      <c r="C63" s="3"/>
      <c r="D63" s="3"/>
      <c r="E63" s="4"/>
      <c r="F63" s="154">
        <f>SUM(F55:F62)</f>
        <v>125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75" customHeight="1">
      <c r="A64" s="2"/>
      <c r="B64" s="3"/>
      <c r="C64" s="3"/>
      <c r="D64" s="3"/>
      <c r="E64" s="3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0.0" customHeight="1">
      <c r="A65" s="12" t="s">
        <v>189</v>
      </c>
      <c r="B65" s="3"/>
      <c r="C65" s="3"/>
      <c r="D65" s="3"/>
      <c r="E65" s="3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64" t="s">
        <v>192</v>
      </c>
      <c r="B66" s="3"/>
      <c r="C66" s="3"/>
      <c r="D66" s="3"/>
      <c r="E66" s="4"/>
      <c r="F66" s="165">
        <f>F42</f>
        <v>754.6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64" t="s">
        <v>193</v>
      </c>
      <c r="B67" s="3"/>
      <c r="C67" s="3"/>
      <c r="D67" s="3"/>
      <c r="E67" s="4"/>
      <c r="F67" s="165">
        <f>F51</f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64" t="s">
        <v>194</v>
      </c>
      <c r="B68" s="3"/>
      <c r="C68" s="3"/>
      <c r="D68" s="3"/>
      <c r="E68" s="4"/>
      <c r="F68" s="165">
        <f>F63</f>
        <v>125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66" t="s">
        <v>195</v>
      </c>
      <c r="B69" s="3"/>
      <c r="C69" s="3"/>
      <c r="D69" s="3"/>
      <c r="E69" s="4"/>
      <c r="F69" s="167">
        <f>F66+F67+F68</f>
        <v>879.6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64" t="s">
        <v>197</v>
      </c>
      <c r="B70" s="3"/>
      <c r="C70" s="3"/>
      <c r="D70" s="3"/>
      <c r="E70" s="4"/>
      <c r="F70" s="86" t="str">
        <f>IFERROR(IF(C8="","",F69/C8),"")</f>
        <v/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68" t="s">
        <v>198</v>
      </c>
      <c r="B71" s="3"/>
      <c r="C71" s="4"/>
      <c r="D71" s="169">
        <v>1.0</v>
      </c>
      <c r="E71" s="75"/>
      <c r="F71" s="15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64" t="s">
        <v>199</v>
      </c>
      <c r="B72" s="3"/>
      <c r="C72" s="3"/>
      <c r="D72" s="3"/>
      <c r="E72" s="4"/>
      <c r="F72" s="162">
        <f>F69*D71</f>
        <v>879.6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3.75" customHeight="1">
      <c r="A73" s="63" t="s">
        <v>201</v>
      </c>
      <c r="B73" s="3"/>
      <c r="C73" s="3"/>
      <c r="D73" s="3"/>
      <c r="E73" s="4"/>
      <c r="F73" s="170">
        <f>F69+F72</f>
        <v>1759.2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64" t="s">
        <v>202</v>
      </c>
      <c r="B74" s="3"/>
      <c r="C74" s="3"/>
      <c r="D74" s="3"/>
      <c r="E74" s="4"/>
      <c r="F74" s="171" t="str">
        <f>IFERROR(IF(C8="","—",F73/C8),"—")</f>
        <v>—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9"/>
      <c r="B75" s="69"/>
      <c r="C75" s="69"/>
      <c r="D75" s="69"/>
      <c r="E75" s="69"/>
      <c r="F75" s="6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1.5" customHeight="1">
      <c r="A76" s="172" t="s">
        <v>203</v>
      </c>
      <c r="B76" s="3"/>
      <c r="C76" s="3"/>
      <c r="D76" s="3"/>
      <c r="E76" s="3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73" t="s">
        <v>204</v>
      </c>
      <c r="B77" s="3"/>
      <c r="C77" s="3"/>
      <c r="D77" s="3"/>
      <c r="E77" s="3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69"/>
      <c r="B78" s="69"/>
      <c r="C78" s="69"/>
      <c r="D78" s="69"/>
      <c r="E78" s="69"/>
      <c r="F78" s="6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69"/>
      <c r="B79" s="69"/>
      <c r="C79" s="69"/>
      <c r="D79" s="69"/>
      <c r="E79" s="69"/>
      <c r="F79" s="6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69"/>
      <c r="B80" s="69"/>
      <c r="C80" s="69"/>
      <c r="D80" s="69"/>
      <c r="E80" s="69"/>
      <c r="F80" s="6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69"/>
      <c r="B81" s="69"/>
      <c r="C81" s="69"/>
      <c r="D81" s="69"/>
      <c r="E81" s="69"/>
      <c r="F81" s="6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69"/>
      <c r="B82" s="69"/>
      <c r="C82" s="69"/>
      <c r="D82" s="69"/>
      <c r="E82" s="69"/>
      <c r="F82" s="6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69"/>
      <c r="B83" s="69"/>
      <c r="C83" s="69"/>
      <c r="D83" s="69"/>
      <c r="E83" s="69"/>
      <c r="F83" s="6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9"/>
      <c r="B84" s="69"/>
      <c r="C84" s="69"/>
      <c r="D84" s="69"/>
      <c r="E84" s="69"/>
      <c r="F84" s="6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69"/>
      <c r="B85" s="69"/>
      <c r="C85" s="69"/>
      <c r="D85" s="69"/>
      <c r="E85" s="69"/>
      <c r="F85" s="6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69"/>
      <c r="B86" s="69"/>
      <c r="C86" s="69"/>
      <c r="D86" s="69"/>
      <c r="E86" s="69"/>
      <c r="F86" s="6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69"/>
      <c r="B87" s="69"/>
      <c r="C87" s="69"/>
      <c r="D87" s="69"/>
      <c r="E87" s="69"/>
      <c r="F87" s="6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9"/>
      <c r="B88" s="69"/>
      <c r="C88" s="69"/>
      <c r="D88" s="69"/>
      <c r="E88" s="69"/>
      <c r="F88" s="6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69"/>
      <c r="B89" s="69"/>
      <c r="C89" s="69"/>
      <c r="D89" s="69"/>
      <c r="E89" s="69"/>
      <c r="F89" s="6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9"/>
      <c r="B90" s="69"/>
      <c r="C90" s="69"/>
      <c r="D90" s="69"/>
      <c r="E90" s="69"/>
      <c r="F90" s="6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69"/>
      <c r="B91" s="69"/>
      <c r="C91" s="69"/>
      <c r="D91" s="69"/>
      <c r="E91" s="69"/>
      <c r="F91" s="6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69"/>
      <c r="B92" s="69"/>
      <c r="C92" s="69"/>
      <c r="D92" s="69"/>
      <c r="E92" s="69"/>
      <c r="F92" s="6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69"/>
      <c r="B93" s="69"/>
      <c r="C93" s="69"/>
      <c r="D93" s="69"/>
      <c r="E93" s="69"/>
      <c r="F93" s="6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69"/>
      <c r="B94" s="69"/>
      <c r="C94" s="69"/>
      <c r="D94" s="69"/>
      <c r="E94" s="69"/>
      <c r="F94" s="6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69"/>
      <c r="B95" s="69"/>
      <c r="C95" s="69"/>
      <c r="D95" s="69"/>
      <c r="E95" s="69"/>
      <c r="F95" s="6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69"/>
      <c r="B96" s="69"/>
      <c r="C96" s="69"/>
      <c r="D96" s="69"/>
      <c r="E96" s="69"/>
      <c r="F96" s="6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69"/>
      <c r="B97" s="69"/>
      <c r="C97" s="69"/>
      <c r="D97" s="69"/>
      <c r="E97" s="69"/>
      <c r="F97" s="6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69"/>
      <c r="B98" s="69"/>
      <c r="C98" s="69"/>
      <c r="D98" s="69"/>
      <c r="E98" s="69"/>
      <c r="F98" s="6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69"/>
      <c r="B99" s="69"/>
      <c r="C99" s="69"/>
      <c r="D99" s="69"/>
      <c r="E99" s="69"/>
      <c r="F99" s="6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9"/>
      <c r="B100" s="69"/>
      <c r="C100" s="69"/>
      <c r="D100" s="69"/>
      <c r="E100" s="69"/>
      <c r="F100" s="6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9"/>
      <c r="B101" s="69"/>
      <c r="C101" s="69"/>
      <c r="D101" s="69"/>
      <c r="E101" s="69"/>
      <c r="F101" s="6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9"/>
      <c r="B102" s="69"/>
      <c r="C102" s="69"/>
      <c r="D102" s="69"/>
      <c r="E102" s="69"/>
      <c r="F102" s="6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69"/>
      <c r="B103" s="69"/>
      <c r="C103" s="69"/>
      <c r="D103" s="69"/>
      <c r="E103" s="69"/>
      <c r="F103" s="6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69"/>
      <c r="B104" s="69"/>
      <c r="C104" s="69"/>
      <c r="D104" s="69"/>
      <c r="E104" s="69"/>
      <c r="F104" s="6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69"/>
      <c r="B105" s="69"/>
      <c r="C105" s="69"/>
      <c r="D105" s="69"/>
      <c r="E105" s="69"/>
      <c r="F105" s="6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69"/>
      <c r="B106" s="69"/>
      <c r="C106" s="69"/>
      <c r="D106" s="69"/>
      <c r="E106" s="69"/>
      <c r="F106" s="6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69"/>
      <c r="B107" s="69"/>
      <c r="C107" s="69"/>
      <c r="D107" s="69"/>
      <c r="E107" s="69"/>
      <c r="F107" s="6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69"/>
      <c r="B108" s="69"/>
      <c r="C108" s="69"/>
      <c r="D108" s="69"/>
      <c r="E108" s="69"/>
      <c r="F108" s="6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69"/>
      <c r="B109" s="69"/>
      <c r="C109" s="69"/>
      <c r="D109" s="69"/>
      <c r="E109" s="69"/>
      <c r="F109" s="6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69"/>
      <c r="B110" s="69"/>
      <c r="C110" s="69"/>
      <c r="D110" s="69"/>
      <c r="E110" s="69"/>
      <c r="F110" s="6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69"/>
      <c r="B111" s="69"/>
      <c r="C111" s="69"/>
      <c r="D111" s="69"/>
      <c r="E111" s="69"/>
      <c r="F111" s="6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69"/>
      <c r="B112" s="69"/>
      <c r="C112" s="69"/>
      <c r="D112" s="69"/>
      <c r="E112" s="69"/>
      <c r="F112" s="6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69"/>
      <c r="B113" s="69"/>
      <c r="C113" s="69"/>
      <c r="D113" s="69"/>
      <c r="E113" s="69"/>
      <c r="F113" s="6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69"/>
      <c r="B114" s="69"/>
      <c r="C114" s="69"/>
      <c r="D114" s="69"/>
      <c r="E114" s="69"/>
      <c r="F114" s="6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69"/>
      <c r="B115" s="69"/>
      <c r="C115" s="69"/>
      <c r="D115" s="69"/>
      <c r="E115" s="69"/>
      <c r="F115" s="6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69"/>
      <c r="B116" s="69"/>
      <c r="C116" s="69"/>
      <c r="D116" s="69"/>
      <c r="E116" s="69"/>
      <c r="F116" s="6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69"/>
      <c r="B117" s="69"/>
      <c r="C117" s="69"/>
      <c r="D117" s="69"/>
      <c r="E117" s="69"/>
      <c r="F117" s="6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69"/>
      <c r="B118" s="69"/>
      <c r="C118" s="69"/>
      <c r="D118" s="69"/>
      <c r="E118" s="69"/>
      <c r="F118" s="6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69"/>
      <c r="B119" s="69"/>
      <c r="C119" s="69"/>
      <c r="D119" s="69"/>
      <c r="E119" s="69"/>
      <c r="F119" s="6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69"/>
      <c r="B120" s="69"/>
      <c r="C120" s="69"/>
      <c r="D120" s="69"/>
      <c r="E120" s="69"/>
      <c r="F120" s="6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69"/>
      <c r="B121" s="69"/>
      <c r="C121" s="69"/>
      <c r="D121" s="69"/>
      <c r="E121" s="69"/>
      <c r="F121" s="6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69"/>
      <c r="B122" s="69"/>
      <c r="C122" s="69"/>
      <c r="D122" s="69"/>
      <c r="E122" s="69"/>
      <c r="F122" s="6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69"/>
      <c r="B123" s="69"/>
      <c r="C123" s="69"/>
      <c r="D123" s="69"/>
      <c r="E123" s="69"/>
      <c r="F123" s="6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69"/>
      <c r="B124" s="69"/>
      <c r="C124" s="69"/>
      <c r="D124" s="69"/>
      <c r="E124" s="69"/>
      <c r="F124" s="6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69"/>
      <c r="B125" s="69"/>
      <c r="C125" s="69"/>
      <c r="D125" s="69"/>
      <c r="E125" s="69"/>
      <c r="F125" s="6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69"/>
      <c r="B126" s="69"/>
      <c r="C126" s="69"/>
      <c r="D126" s="69"/>
      <c r="E126" s="69"/>
      <c r="F126" s="6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69"/>
      <c r="B127" s="69"/>
      <c r="C127" s="69"/>
      <c r="D127" s="69"/>
      <c r="E127" s="69"/>
      <c r="F127" s="6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69"/>
      <c r="B128" s="69"/>
      <c r="C128" s="69"/>
      <c r="D128" s="69"/>
      <c r="E128" s="69"/>
      <c r="F128" s="6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69"/>
      <c r="B129" s="69"/>
      <c r="C129" s="69"/>
      <c r="D129" s="69"/>
      <c r="E129" s="69"/>
      <c r="F129" s="6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69"/>
      <c r="B130" s="69"/>
      <c r="C130" s="69"/>
      <c r="D130" s="69"/>
      <c r="E130" s="69"/>
      <c r="F130" s="6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69"/>
      <c r="B131" s="69"/>
      <c r="C131" s="69"/>
      <c r="D131" s="69"/>
      <c r="E131" s="69"/>
      <c r="F131" s="6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69"/>
      <c r="B132" s="69"/>
      <c r="C132" s="69"/>
      <c r="D132" s="69"/>
      <c r="E132" s="69"/>
      <c r="F132" s="6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69"/>
      <c r="B133" s="69"/>
      <c r="C133" s="69"/>
      <c r="D133" s="69"/>
      <c r="E133" s="69"/>
      <c r="F133" s="6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69"/>
      <c r="B134" s="69"/>
      <c r="C134" s="69"/>
      <c r="D134" s="69"/>
      <c r="E134" s="69"/>
      <c r="F134" s="6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69"/>
      <c r="B135" s="69"/>
      <c r="C135" s="69"/>
      <c r="D135" s="69"/>
      <c r="E135" s="69"/>
      <c r="F135" s="6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69"/>
      <c r="B136" s="69"/>
      <c r="C136" s="69"/>
      <c r="D136" s="69"/>
      <c r="E136" s="69"/>
      <c r="F136" s="6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69"/>
      <c r="B137" s="69"/>
      <c r="C137" s="69"/>
      <c r="D137" s="69"/>
      <c r="E137" s="69"/>
      <c r="F137" s="6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69"/>
      <c r="B138" s="69"/>
      <c r="C138" s="69"/>
      <c r="D138" s="69"/>
      <c r="E138" s="69"/>
      <c r="F138" s="6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69"/>
      <c r="B139" s="69"/>
      <c r="C139" s="69"/>
      <c r="D139" s="69"/>
      <c r="E139" s="69"/>
      <c r="F139" s="6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69"/>
      <c r="B140" s="69"/>
      <c r="C140" s="69"/>
      <c r="D140" s="69"/>
      <c r="E140" s="69"/>
      <c r="F140" s="6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69"/>
      <c r="B141" s="69"/>
      <c r="C141" s="69"/>
      <c r="D141" s="69"/>
      <c r="E141" s="69"/>
      <c r="F141" s="6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69"/>
      <c r="B142" s="69"/>
      <c r="C142" s="69"/>
      <c r="D142" s="69"/>
      <c r="E142" s="69"/>
      <c r="F142" s="6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69"/>
      <c r="B143" s="69"/>
      <c r="C143" s="69"/>
      <c r="D143" s="69"/>
      <c r="E143" s="69"/>
      <c r="F143" s="6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69"/>
      <c r="B144" s="69"/>
      <c r="C144" s="69"/>
      <c r="D144" s="69"/>
      <c r="E144" s="69"/>
      <c r="F144" s="6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69"/>
      <c r="B145" s="69"/>
      <c r="C145" s="69"/>
      <c r="D145" s="69"/>
      <c r="E145" s="69"/>
      <c r="F145" s="6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69"/>
      <c r="B146" s="69"/>
      <c r="C146" s="69"/>
      <c r="D146" s="69"/>
      <c r="E146" s="69"/>
      <c r="F146" s="6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69"/>
      <c r="B147" s="69"/>
      <c r="C147" s="69"/>
      <c r="D147" s="69"/>
      <c r="E147" s="69"/>
      <c r="F147" s="6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69"/>
      <c r="B148" s="69"/>
      <c r="C148" s="69"/>
      <c r="D148" s="69"/>
      <c r="E148" s="69"/>
      <c r="F148" s="6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69"/>
      <c r="B149" s="69"/>
      <c r="C149" s="69"/>
      <c r="D149" s="69"/>
      <c r="E149" s="69"/>
      <c r="F149" s="6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69"/>
      <c r="B150" s="69"/>
      <c r="C150" s="69"/>
      <c r="D150" s="69"/>
      <c r="E150" s="69"/>
      <c r="F150" s="6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69"/>
      <c r="B151" s="69"/>
      <c r="C151" s="69"/>
      <c r="D151" s="69"/>
      <c r="E151" s="69"/>
      <c r="F151" s="6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69"/>
      <c r="B152" s="69"/>
      <c r="C152" s="69"/>
      <c r="D152" s="69"/>
      <c r="E152" s="69"/>
      <c r="F152" s="6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69"/>
      <c r="B153" s="69"/>
      <c r="C153" s="69"/>
      <c r="D153" s="69"/>
      <c r="E153" s="69"/>
      <c r="F153" s="6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69"/>
      <c r="B154" s="69"/>
      <c r="C154" s="69"/>
      <c r="D154" s="69"/>
      <c r="E154" s="69"/>
      <c r="F154" s="6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69"/>
      <c r="B155" s="69"/>
      <c r="C155" s="69"/>
      <c r="D155" s="69"/>
      <c r="E155" s="69"/>
      <c r="F155" s="6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69"/>
      <c r="B156" s="69"/>
      <c r="C156" s="69"/>
      <c r="D156" s="69"/>
      <c r="E156" s="69"/>
      <c r="F156" s="6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69"/>
      <c r="B157" s="69"/>
      <c r="C157" s="69"/>
      <c r="D157" s="69"/>
      <c r="E157" s="69"/>
      <c r="F157" s="6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69"/>
      <c r="B158" s="69"/>
      <c r="C158" s="69"/>
      <c r="D158" s="69"/>
      <c r="E158" s="69"/>
      <c r="F158" s="6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69"/>
      <c r="B159" s="69"/>
      <c r="C159" s="69"/>
      <c r="D159" s="69"/>
      <c r="E159" s="69"/>
      <c r="F159" s="6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69"/>
      <c r="B160" s="69"/>
      <c r="C160" s="69"/>
      <c r="D160" s="69"/>
      <c r="E160" s="69"/>
      <c r="F160" s="6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69"/>
      <c r="B161" s="69"/>
      <c r="C161" s="69"/>
      <c r="D161" s="69"/>
      <c r="E161" s="69"/>
      <c r="F161" s="6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69"/>
      <c r="B162" s="69"/>
      <c r="C162" s="69"/>
      <c r="D162" s="69"/>
      <c r="E162" s="69"/>
      <c r="F162" s="6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69"/>
      <c r="B163" s="69"/>
      <c r="C163" s="69"/>
      <c r="D163" s="69"/>
      <c r="E163" s="69"/>
      <c r="F163" s="6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69"/>
      <c r="B164" s="69"/>
      <c r="C164" s="69"/>
      <c r="D164" s="69"/>
      <c r="E164" s="69"/>
      <c r="F164" s="6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69"/>
      <c r="B165" s="69"/>
      <c r="C165" s="69"/>
      <c r="D165" s="69"/>
      <c r="E165" s="69"/>
      <c r="F165" s="6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69"/>
      <c r="B166" s="69"/>
      <c r="C166" s="69"/>
      <c r="D166" s="69"/>
      <c r="E166" s="69"/>
      <c r="F166" s="6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69"/>
      <c r="B167" s="69"/>
      <c r="C167" s="69"/>
      <c r="D167" s="69"/>
      <c r="E167" s="69"/>
      <c r="F167" s="6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69"/>
      <c r="B168" s="69"/>
      <c r="C168" s="69"/>
      <c r="D168" s="69"/>
      <c r="E168" s="69"/>
      <c r="F168" s="6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69"/>
      <c r="B169" s="69"/>
      <c r="C169" s="69"/>
      <c r="D169" s="69"/>
      <c r="E169" s="69"/>
      <c r="F169" s="6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69"/>
      <c r="B170" s="69"/>
      <c r="C170" s="69"/>
      <c r="D170" s="69"/>
      <c r="E170" s="69"/>
      <c r="F170" s="6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69"/>
      <c r="B171" s="69"/>
      <c r="C171" s="69"/>
      <c r="D171" s="69"/>
      <c r="E171" s="69"/>
      <c r="F171" s="6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69"/>
      <c r="B172" s="69"/>
      <c r="C172" s="69"/>
      <c r="D172" s="69"/>
      <c r="E172" s="69"/>
      <c r="F172" s="6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69"/>
      <c r="B173" s="69"/>
      <c r="C173" s="69"/>
      <c r="D173" s="69"/>
      <c r="E173" s="69"/>
      <c r="F173" s="6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69"/>
      <c r="B174" s="69"/>
      <c r="C174" s="69"/>
      <c r="D174" s="69"/>
      <c r="E174" s="69"/>
      <c r="F174" s="6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69"/>
      <c r="B175" s="69"/>
      <c r="C175" s="69"/>
      <c r="D175" s="69"/>
      <c r="E175" s="69"/>
      <c r="F175" s="6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69"/>
      <c r="B176" s="69"/>
      <c r="C176" s="69"/>
      <c r="D176" s="69"/>
      <c r="E176" s="69"/>
      <c r="F176" s="6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69"/>
      <c r="B177" s="69"/>
      <c r="C177" s="69"/>
      <c r="D177" s="69"/>
      <c r="E177" s="69"/>
      <c r="F177" s="6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69"/>
      <c r="B178" s="69"/>
      <c r="C178" s="69"/>
      <c r="D178" s="69"/>
      <c r="E178" s="69"/>
      <c r="F178" s="6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69"/>
      <c r="B179" s="69"/>
      <c r="C179" s="69"/>
      <c r="D179" s="69"/>
      <c r="E179" s="69"/>
      <c r="F179" s="6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69"/>
      <c r="B180" s="69"/>
      <c r="C180" s="69"/>
      <c r="D180" s="69"/>
      <c r="E180" s="69"/>
      <c r="F180" s="6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69"/>
      <c r="B181" s="69"/>
      <c r="C181" s="69"/>
      <c r="D181" s="69"/>
      <c r="E181" s="69"/>
      <c r="F181" s="6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69"/>
      <c r="B182" s="69"/>
      <c r="C182" s="69"/>
      <c r="D182" s="69"/>
      <c r="E182" s="69"/>
      <c r="F182" s="6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69"/>
      <c r="B183" s="69"/>
      <c r="C183" s="69"/>
      <c r="D183" s="69"/>
      <c r="E183" s="69"/>
      <c r="F183" s="6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69"/>
      <c r="B184" s="69"/>
      <c r="C184" s="69"/>
      <c r="D184" s="69"/>
      <c r="E184" s="69"/>
      <c r="F184" s="6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69"/>
      <c r="B185" s="69"/>
      <c r="C185" s="69"/>
      <c r="D185" s="69"/>
      <c r="E185" s="69"/>
      <c r="F185" s="6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69"/>
      <c r="B186" s="69"/>
      <c r="C186" s="69"/>
      <c r="D186" s="69"/>
      <c r="E186" s="69"/>
      <c r="F186" s="6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69"/>
      <c r="B187" s="69"/>
      <c r="C187" s="69"/>
      <c r="D187" s="69"/>
      <c r="E187" s="69"/>
      <c r="F187" s="6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69"/>
      <c r="B188" s="69"/>
      <c r="C188" s="69"/>
      <c r="D188" s="69"/>
      <c r="E188" s="69"/>
      <c r="F188" s="6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69"/>
      <c r="B189" s="69"/>
      <c r="C189" s="69"/>
      <c r="D189" s="69"/>
      <c r="E189" s="69"/>
      <c r="F189" s="6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69"/>
      <c r="B190" s="69"/>
      <c r="C190" s="69"/>
      <c r="D190" s="69"/>
      <c r="E190" s="69"/>
      <c r="F190" s="6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69"/>
      <c r="B191" s="69"/>
      <c r="C191" s="69"/>
      <c r="D191" s="69"/>
      <c r="E191" s="69"/>
      <c r="F191" s="6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69"/>
      <c r="B192" s="69"/>
      <c r="C192" s="69"/>
      <c r="D192" s="69"/>
      <c r="E192" s="69"/>
      <c r="F192" s="6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69"/>
      <c r="B193" s="69"/>
      <c r="C193" s="69"/>
      <c r="D193" s="69"/>
      <c r="E193" s="69"/>
      <c r="F193" s="6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69"/>
      <c r="B194" s="69"/>
      <c r="C194" s="69"/>
      <c r="D194" s="69"/>
      <c r="E194" s="69"/>
      <c r="F194" s="6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69"/>
      <c r="B195" s="69"/>
      <c r="C195" s="69"/>
      <c r="D195" s="69"/>
      <c r="E195" s="69"/>
      <c r="F195" s="6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69"/>
      <c r="B196" s="69"/>
      <c r="C196" s="69"/>
      <c r="D196" s="69"/>
      <c r="E196" s="69"/>
      <c r="F196" s="6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69"/>
      <c r="B197" s="69"/>
      <c r="C197" s="69"/>
      <c r="D197" s="69"/>
      <c r="E197" s="69"/>
      <c r="F197" s="6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69"/>
      <c r="B198" s="69"/>
      <c r="C198" s="69"/>
      <c r="D198" s="69"/>
      <c r="E198" s="69"/>
      <c r="F198" s="6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69"/>
      <c r="B199" s="69"/>
      <c r="C199" s="69"/>
      <c r="D199" s="69"/>
      <c r="E199" s="69"/>
      <c r="F199" s="6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69"/>
      <c r="B200" s="69"/>
      <c r="C200" s="69"/>
      <c r="D200" s="69"/>
      <c r="E200" s="69"/>
      <c r="F200" s="6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69"/>
      <c r="B201" s="69"/>
      <c r="C201" s="69"/>
      <c r="D201" s="69"/>
      <c r="E201" s="69"/>
      <c r="F201" s="6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69"/>
      <c r="B202" s="69"/>
      <c r="C202" s="69"/>
      <c r="D202" s="69"/>
      <c r="E202" s="69"/>
      <c r="F202" s="6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69"/>
      <c r="B203" s="69"/>
      <c r="C203" s="69"/>
      <c r="D203" s="69"/>
      <c r="E203" s="69"/>
      <c r="F203" s="6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69"/>
      <c r="B204" s="69"/>
      <c r="C204" s="69"/>
      <c r="D204" s="69"/>
      <c r="E204" s="69"/>
      <c r="F204" s="6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69"/>
      <c r="B205" s="69"/>
      <c r="C205" s="69"/>
      <c r="D205" s="69"/>
      <c r="E205" s="69"/>
      <c r="F205" s="6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69"/>
      <c r="B206" s="69"/>
      <c r="C206" s="69"/>
      <c r="D206" s="69"/>
      <c r="E206" s="69"/>
      <c r="F206" s="6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69"/>
      <c r="B207" s="69"/>
      <c r="C207" s="69"/>
      <c r="D207" s="69"/>
      <c r="E207" s="69"/>
      <c r="F207" s="6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69"/>
      <c r="B208" s="69"/>
      <c r="C208" s="69"/>
      <c r="D208" s="69"/>
      <c r="E208" s="69"/>
      <c r="F208" s="6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69"/>
      <c r="B209" s="69"/>
      <c r="C209" s="69"/>
      <c r="D209" s="69"/>
      <c r="E209" s="69"/>
      <c r="F209" s="6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69"/>
      <c r="B210" s="69"/>
      <c r="C210" s="69"/>
      <c r="D210" s="69"/>
      <c r="E210" s="69"/>
      <c r="F210" s="6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69"/>
      <c r="B211" s="69"/>
      <c r="C211" s="69"/>
      <c r="D211" s="69"/>
      <c r="E211" s="69"/>
      <c r="F211" s="6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69"/>
      <c r="B212" s="69"/>
      <c r="C212" s="69"/>
      <c r="D212" s="69"/>
      <c r="E212" s="69"/>
      <c r="F212" s="6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69"/>
      <c r="B213" s="69"/>
      <c r="C213" s="69"/>
      <c r="D213" s="69"/>
      <c r="E213" s="69"/>
      <c r="F213" s="6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69"/>
      <c r="B214" s="69"/>
      <c r="C214" s="69"/>
      <c r="D214" s="69"/>
      <c r="E214" s="69"/>
      <c r="F214" s="6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69"/>
      <c r="B215" s="69"/>
      <c r="C215" s="69"/>
      <c r="D215" s="69"/>
      <c r="E215" s="69"/>
      <c r="F215" s="6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69"/>
      <c r="B216" s="69"/>
      <c r="C216" s="69"/>
      <c r="D216" s="69"/>
      <c r="E216" s="69"/>
      <c r="F216" s="6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69"/>
      <c r="B217" s="69"/>
      <c r="C217" s="69"/>
      <c r="D217" s="69"/>
      <c r="E217" s="69"/>
      <c r="F217" s="6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69"/>
      <c r="B218" s="69"/>
      <c r="C218" s="69"/>
      <c r="D218" s="69"/>
      <c r="E218" s="69"/>
      <c r="F218" s="6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69"/>
      <c r="B219" s="69"/>
      <c r="C219" s="69"/>
      <c r="D219" s="69"/>
      <c r="E219" s="69"/>
      <c r="F219" s="6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69"/>
      <c r="B220" s="69"/>
      <c r="C220" s="69"/>
      <c r="D220" s="69"/>
      <c r="E220" s="69"/>
      <c r="F220" s="6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69"/>
      <c r="B221" s="69"/>
      <c r="C221" s="69"/>
      <c r="D221" s="69"/>
      <c r="E221" s="69"/>
      <c r="F221" s="6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69"/>
      <c r="B222" s="69"/>
      <c r="C222" s="69"/>
      <c r="D222" s="69"/>
      <c r="E222" s="69"/>
      <c r="F222" s="6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69"/>
      <c r="B223" s="69"/>
      <c r="C223" s="69"/>
      <c r="D223" s="69"/>
      <c r="E223" s="69"/>
      <c r="F223" s="6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69"/>
      <c r="B224" s="69"/>
      <c r="C224" s="69"/>
      <c r="D224" s="69"/>
      <c r="E224" s="69"/>
      <c r="F224" s="6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69"/>
      <c r="B225" s="69"/>
      <c r="C225" s="69"/>
      <c r="D225" s="69"/>
      <c r="E225" s="69"/>
      <c r="F225" s="6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69"/>
      <c r="B226" s="69"/>
      <c r="C226" s="69"/>
      <c r="D226" s="69"/>
      <c r="E226" s="69"/>
      <c r="F226" s="6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69"/>
      <c r="B227" s="69"/>
      <c r="C227" s="69"/>
      <c r="D227" s="69"/>
      <c r="E227" s="69"/>
      <c r="F227" s="6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69"/>
      <c r="B228" s="69"/>
      <c r="C228" s="69"/>
      <c r="D228" s="69"/>
      <c r="E228" s="69"/>
      <c r="F228" s="6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69"/>
      <c r="B229" s="69"/>
      <c r="C229" s="69"/>
      <c r="D229" s="69"/>
      <c r="E229" s="69"/>
      <c r="F229" s="6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69"/>
      <c r="B230" s="69"/>
      <c r="C230" s="69"/>
      <c r="D230" s="69"/>
      <c r="E230" s="69"/>
      <c r="F230" s="6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69"/>
      <c r="B231" s="69"/>
      <c r="C231" s="69"/>
      <c r="D231" s="69"/>
      <c r="E231" s="69"/>
      <c r="F231" s="6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69"/>
      <c r="B232" s="69"/>
      <c r="C232" s="69"/>
      <c r="D232" s="69"/>
      <c r="E232" s="69"/>
      <c r="F232" s="6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69"/>
      <c r="B233" s="69"/>
      <c r="C233" s="69"/>
      <c r="D233" s="69"/>
      <c r="E233" s="69"/>
      <c r="F233" s="6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69"/>
      <c r="B234" s="69"/>
      <c r="C234" s="69"/>
      <c r="D234" s="69"/>
      <c r="E234" s="69"/>
      <c r="F234" s="6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69"/>
      <c r="B235" s="69"/>
      <c r="C235" s="69"/>
      <c r="D235" s="69"/>
      <c r="E235" s="69"/>
      <c r="F235" s="6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69"/>
      <c r="B236" s="69"/>
      <c r="C236" s="69"/>
      <c r="D236" s="69"/>
      <c r="E236" s="69"/>
      <c r="F236" s="6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69"/>
      <c r="B237" s="69"/>
      <c r="C237" s="69"/>
      <c r="D237" s="69"/>
      <c r="E237" s="69"/>
      <c r="F237" s="6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69"/>
      <c r="B238" s="69"/>
      <c r="C238" s="69"/>
      <c r="D238" s="69"/>
      <c r="E238" s="69"/>
      <c r="F238" s="6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69"/>
      <c r="B239" s="69"/>
      <c r="C239" s="69"/>
      <c r="D239" s="69"/>
      <c r="E239" s="69"/>
      <c r="F239" s="6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69"/>
      <c r="B240" s="69"/>
      <c r="C240" s="69"/>
      <c r="D240" s="69"/>
      <c r="E240" s="69"/>
      <c r="F240" s="6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69"/>
      <c r="B241" s="69"/>
      <c r="C241" s="69"/>
      <c r="D241" s="69"/>
      <c r="E241" s="69"/>
      <c r="F241" s="6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69"/>
      <c r="B242" s="69"/>
      <c r="C242" s="69"/>
      <c r="D242" s="69"/>
      <c r="E242" s="69"/>
      <c r="F242" s="6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69"/>
      <c r="B243" s="69"/>
      <c r="C243" s="69"/>
      <c r="D243" s="69"/>
      <c r="E243" s="69"/>
      <c r="F243" s="6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69"/>
      <c r="B244" s="69"/>
      <c r="C244" s="69"/>
      <c r="D244" s="69"/>
      <c r="E244" s="69"/>
      <c r="F244" s="6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69"/>
      <c r="B245" s="69"/>
      <c r="C245" s="69"/>
      <c r="D245" s="69"/>
      <c r="E245" s="69"/>
      <c r="F245" s="6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69"/>
      <c r="B246" s="69"/>
      <c r="C246" s="69"/>
      <c r="D246" s="69"/>
      <c r="E246" s="69"/>
      <c r="F246" s="6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69"/>
      <c r="B247" s="69"/>
      <c r="C247" s="69"/>
      <c r="D247" s="69"/>
      <c r="E247" s="69"/>
      <c r="F247" s="6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69"/>
      <c r="B248" s="69"/>
      <c r="C248" s="69"/>
      <c r="D248" s="69"/>
      <c r="E248" s="69"/>
      <c r="F248" s="6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69"/>
      <c r="B249" s="69"/>
      <c r="C249" s="69"/>
      <c r="D249" s="69"/>
      <c r="E249" s="69"/>
      <c r="F249" s="6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69"/>
      <c r="B250" s="69"/>
      <c r="C250" s="69"/>
      <c r="D250" s="69"/>
      <c r="E250" s="69"/>
      <c r="F250" s="6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69"/>
      <c r="B251" s="69"/>
      <c r="C251" s="69"/>
      <c r="D251" s="69"/>
      <c r="E251" s="69"/>
      <c r="F251" s="6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69"/>
      <c r="B252" s="69"/>
      <c r="C252" s="69"/>
      <c r="D252" s="69"/>
      <c r="E252" s="69"/>
      <c r="F252" s="6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69"/>
      <c r="B253" s="69"/>
      <c r="C253" s="69"/>
      <c r="D253" s="69"/>
      <c r="E253" s="69"/>
      <c r="F253" s="6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69"/>
      <c r="B254" s="69"/>
      <c r="C254" s="69"/>
      <c r="D254" s="69"/>
      <c r="E254" s="69"/>
      <c r="F254" s="6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69"/>
      <c r="B255" s="69"/>
      <c r="C255" s="69"/>
      <c r="D255" s="69"/>
      <c r="E255" s="69"/>
      <c r="F255" s="6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69"/>
      <c r="B256" s="69"/>
      <c r="C256" s="69"/>
      <c r="D256" s="69"/>
      <c r="E256" s="69"/>
      <c r="F256" s="6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69"/>
      <c r="B257" s="69"/>
      <c r="C257" s="69"/>
      <c r="D257" s="69"/>
      <c r="E257" s="69"/>
      <c r="F257" s="6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69"/>
      <c r="B258" s="69"/>
      <c r="C258" s="69"/>
      <c r="D258" s="69"/>
      <c r="E258" s="69"/>
      <c r="F258" s="6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69"/>
      <c r="B259" s="69"/>
      <c r="C259" s="69"/>
      <c r="D259" s="69"/>
      <c r="E259" s="69"/>
      <c r="F259" s="6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69"/>
      <c r="B260" s="69"/>
      <c r="C260" s="69"/>
      <c r="D260" s="69"/>
      <c r="E260" s="69"/>
      <c r="F260" s="6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69"/>
      <c r="B261" s="69"/>
      <c r="C261" s="69"/>
      <c r="D261" s="69"/>
      <c r="E261" s="69"/>
      <c r="F261" s="6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69"/>
      <c r="B262" s="69"/>
      <c r="C262" s="69"/>
      <c r="D262" s="69"/>
      <c r="E262" s="69"/>
      <c r="F262" s="6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69"/>
      <c r="B263" s="69"/>
      <c r="C263" s="69"/>
      <c r="D263" s="69"/>
      <c r="E263" s="69"/>
      <c r="F263" s="6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69"/>
      <c r="B264" s="69"/>
      <c r="C264" s="69"/>
      <c r="D264" s="69"/>
      <c r="E264" s="69"/>
      <c r="F264" s="6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69"/>
      <c r="B265" s="69"/>
      <c r="C265" s="69"/>
      <c r="D265" s="69"/>
      <c r="E265" s="69"/>
      <c r="F265" s="6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69"/>
      <c r="B266" s="69"/>
      <c r="C266" s="69"/>
      <c r="D266" s="69"/>
      <c r="E266" s="69"/>
      <c r="F266" s="6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69"/>
      <c r="B267" s="69"/>
      <c r="C267" s="69"/>
      <c r="D267" s="69"/>
      <c r="E267" s="69"/>
      <c r="F267" s="6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69"/>
      <c r="B268" s="69"/>
      <c r="C268" s="69"/>
      <c r="D268" s="69"/>
      <c r="E268" s="69"/>
      <c r="F268" s="6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69"/>
      <c r="B269" s="69"/>
      <c r="C269" s="69"/>
      <c r="D269" s="69"/>
      <c r="E269" s="69"/>
      <c r="F269" s="6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69"/>
      <c r="B270" s="69"/>
      <c r="C270" s="69"/>
      <c r="D270" s="69"/>
      <c r="E270" s="69"/>
      <c r="F270" s="6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69"/>
      <c r="B271" s="69"/>
      <c r="C271" s="69"/>
      <c r="D271" s="69"/>
      <c r="E271" s="69"/>
      <c r="F271" s="6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69"/>
      <c r="B272" s="69"/>
      <c r="C272" s="69"/>
      <c r="D272" s="69"/>
      <c r="E272" s="69"/>
      <c r="F272" s="6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69"/>
      <c r="B273" s="69"/>
      <c r="C273" s="69"/>
      <c r="D273" s="69"/>
      <c r="E273" s="69"/>
      <c r="F273" s="6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69"/>
      <c r="B274" s="69"/>
      <c r="C274" s="69"/>
      <c r="D274" s="69"/>
      <c r="E274" s="69"/>
      <c r="F274" s="6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69"/>
      <c r="B275" s="69"/>
      <c r="C275" s="69"/>
      <c r="D275" s="69"/>
      <c r="E275" s="69"/>
      <c r="F275" s="6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69"/>
      <c r="B276" s="69"/>
      <c r="C276" s="69"/>
      <c r="D276" s="69"/>
      <c r="E276" s="69"/>
      <c r="F276" s="6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69"/>
      <c r="B277" s="69"/>
      <c r="C277" s="69"/>
      <c r="D277" s="69"/>
      <c r="E277" s="69"/>
      <c r="F277" s="6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</sheetData>
  <mergeCells count="45">
    <mergeCell ref="A1:F1"/>
    <mergeCell ref="A2:F2"/>
    <mergeCell ref="A3:F3"/>
    <mergeCell ref="A4:F4"/>
    <mergeCell ref="A5:F5"/>
    <mergeCell ref="C6:F6"/>
    <mergeCell ref="C7:F7"/>
    <mergeCell ref="C8:D8"/>
    <mergeCell ref="C9:D9"/>
    <mergeCell ref="A10:F10"/>
    <mergeCell ref="A11:F11"/>
    <mergeCell ref="A42:E42"/>
    <mergeCell ref="A43:F43"/>
    <mergeCell ref="A44:F44"/>
    <mergeCell ref="B46:C46"/>
    <mergeCell ref="B47:C47"/>
    <mergeCell ref="B48:C48"/>
    <mergeCell ref="B49:C49"/>
    <mergeCell ref="B50:C50"/>
    <mergeCell ref="A51:E51"/>
    <mergeCell ref="A52:F52"/>
    <mergeCell ref="A53:F53"/>
    <mergeCell ref="C55:D55"/>
    <mergeCell ref="C56:D56"/>
    <mergeCell ref="C57:D57"/>
    <mergeCell ref="C58:D58"/>
    <mergeCell ref="C59:D59"/>
    <mergeCell ref="C60:D60"/>
    <mergeCell ref="C61:D61"/>
    <mergeCell ref="C62:D62"/>
    <mergeCell ref="A63:E63"/>
    <mergeCell ref="A64:F64"/>
    <mergeCell ref="A65:F65"/>
    <mergeCell ref="A66:E66"/>
    <mergeCell ref="A67:E67"/>
    <mergeCell ref="A74:E74"/>
    <mergeCell ref="A76:F76"/>
    <mergeCell ref="A77:F77"/>
    <mergeCell ref="A68:E68"/>
    <mergeCell ref="A69:E69"/>
    <mergeCell ref="A70:E70"/>
    <mergeCell ref="A71:C71"/>
    <mergeCell ref="D71:F71"/>
    <mergeCell ref="A72:E72"/>
    <mergeCell ref="A73:E73"/>
  </mergeCells>
  <dataValidations>
    <dataValidation type="list" allowBlank="1" sqref="B13:B41">
      <formula1>'🧂 INGREDIENTES'!$B$6:$B$100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FAF8A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5.14"/>
    <col customWidth="1" min="4" max="4" width="16.0"/>
    <col customWidth="1" min="5" max="5" width="21.57"/>
    <col customWidth="1" min="6" max="6" width="23.71"/>
    <col customWidth="1" min="7" max="7" width="22.86"/>
    <col customWidth="1" min="8" max="8" width="20.71"/>
    <col customWidth="1" min="9" max="9" width="19.14"/>
    <col customWidth="1" min="10" max="10" width="22.0"/>
    <col customWidth="1" min="11" max="11" width="28.0"/>
  </cols>
  <sheetData>
    <row r="1" ht="15.0" customHeight="1">
      <c r="A1" s="95" t="s">
        <v>142</v>
      </c>
      <c r="B1" s="3"/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75" customHeight="1">
      <c r="A2" s="5" t="s">
        <v>143</v>
      </c>
      <c r="B2" s="3"/>
      <c r="C2" s="3"/>
      <c r="D2" s="3"/>
      <c r="E2" s="3"/>
      <c r="F2" s="3"/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7" t="s">
        <v>144</v>
      </c>
      <c r="B3" s="3"/>
      <c r="C3" s="3"/>
      <c r="D3" s="3"/>
      <c r="E3" s="3"/>
      <c r="F3" s="3"/>
      <c r="G3" s="3"/>
      <c r="H3" s="3"/>
      <c r="I3" s="3"/>
      <c r="J3" s="3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9"/>
      <c r="B4" s="3"/>
      <c r="C4" s="3"/>
      <c r="D4" s="3"/>
      <c r="E4" s="3"/>
      <c r="F4" s="3"/>
      <c r="G4" s="3"/>
      <c r="H4" s="3"/>
      <c r="I4" s="3"/>
      <c r="J4" s="3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97" t="s">
        <v>6</v>
      </c>
      <c r="B5" s="97" t="s">
        <v>145</v>
      </c>
      <c r="C5" s="97" t="s">
        <v>146</v>
      </c>
      <c r="D5" s="97" t="s">
        <v>147</v>
      </c>
      <c r="E5" s="97" t="s">
        <v>148</v>
      </c>
      <c r="F5" s="97" t="s">
        <v>149</v>
      </c>
      <c r="G5" s="97" t="s">
        <v>150</v>
      </c>
      <c r="H5" s="97" t="s">
        <v>151</v>
      </c>
      <c r="I5" s="97" t="s">
        <v>152</v>
      </c>
      <c r="J5" s="97" t="s">
        <v>153</v>
      </c>
      <c r="K5" s="97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98">
        <f t="shared" ref="A6:A505" si="1">ROW()-5</f>
        <v>1</v>
      </c>
      <c r="B6" s="92" t="s">
        <v>134</v>
      </c>
      <c r="C6" s="99">
        <v>46225.53070577546</v>
      </c>
      <c r="D6" s="100"/>
      <c r="E6" s="101">
        <v>754.6</v>
      </c>
      <c r="F6" s="101">
        <v>0.0</v>
      </c>
      <c r="G6" s="101">
        <v>125.0</v>
      </c>
      <c r="H6" s="102">
        <v>879.6</v>
      </c>
      <c r="I6" s="103">
        <v>1.0</v>
      </c>
      <c r="J6" s="104" t="e">
        <v>#VALUE!</v>
      </c>
      <c r="K6" s="10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98">
        <f t="shared" si="1"/>
        <v>2</v>
      </c>
      <c r="B7" s="105"/>
      <c r="C7" s="107"/>
      <c r="D7" s="100"/>
      <c r="E7" s="108"/>
      <c r="F7" s="108"/>
      <c r="G7" s="108"/>
      <c r="H7" s="109"/>
      <c r="I7" s="110"/>
      <c r="J7" s="111"/>
      <c r="K7" s="10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98">
        <f t="shared" si="1"/>
        <v>3</v>
      </c>
      <c r="B8" s="105" t="str">
        <f>IF('⚙️ DETALLE TÉCNICO'!M227="","",'⚙️ DETALLE TÉCNICO'!M227)</f>
        <v/>
      </c>
      <c r="C8" s="107" t="str">
        <f>IF('⚙️ DETALLE TÉCNICO'!M227="","",'⚙️ DETALLE TÉCNICO'!N227)</f>
        <v/>
      </c>
      <c r="D8" s="100" t="str">
        <f>IF('⚙️ DETALLE TÉCNICO'!M227="","",'⚙️ DETALLE TÉCNICO'!L227)</f>
        <v/>
      </c>
      <c r="E8" s="108" t="str">
        <f>IF('⚙️ DETALLE TÉCNICO'!M227="","",IFERROR(SUMPRODUCT(IFERROR(IF(('⚙️ DETALLE TÉCNICO'!E227:E246="KG")+('⚙️ DETALLE TÉCNICO'!E227:E246="LITRO")+('⚙️ DETALLE TÉCNICO'!E227:E246="GR")+('⚙️ DETALLE TÉCNICO'!E227:E246="ML"),IFERROR(VLOOKUP('⚙️ DETALLE TÉCNICO'!C227:C246,'🧂 INGREDIENTES'!$B$6:$C$500,2,0),0)*'⚙️ DETALLE TÉCNICO'!D227:D246/1000,IFERROR(VLOOKUP('⚙️ DETALLE TÉCNICO'!C227:C246,'🧂 INGREDIENTES'!$B$6:$C$500,2,0),0)*'⚙️ DETALLE TÉCNICO'!D227:D246),0)),0))</f>
        <v/>
      </c>
      <c r="F8" s="108" t="str">
        <f>IF('⚙️ DETALLE TÉCNICO'!M227="","",IFERROR(SUMPRODUCT(IFERROR('⚙️ DETALLE TÉCNICO'!G227:G231*'⚙️ DETALLE TÉCNICO'!H227:H231,0)),0))</f>
        <v/>
      </c>
      <c r="G8" s="108" t="str">
        <f>IF('⚙️ DETALLE TÉCNICO'!M227="","",IFERROR(SUM('⚙️ DETALLE TÉCNICO'!J227:J234),0))</f>
        <v/>
      </c>
      <c r="H8" s="109" t="str">
        <f>IF('⚙️ DETALLE TÉCNICO'!M227="","",E8+F8+G8)</f>
        <v/>
      </c>
      <c r="I8" s="110" t="str">
        <f>IF('⚙️ DETALLE TÉCNICO'!M227="","",'⚙️ DETALLE TÉCNICO'!K227)</f>
        <v/>
      </c>
      <c r="J8" s="111" t="str">
        <f>IF('⚙️ DETALLE TÉCNICO'!M227="","",H8*(1+I8))</f>
        <v/>
      </c>
      <c r="K8" s="10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98">
        <f t="shared" si="1"/>
        <v>4</v>
      </c>
      <c r="B9" s="105" t="str">
        <f>IF('⚙️ DETALLE TÉCNICO'!M247="","",'⚙️ DETALLE TÉCNICO'!M247)</f>
        <v/>
      </c>
      <c r="C9" s="107" t="str">
        <f>IF('⚙️ DETALLE TÉCNICO'!M247="","",'⚙️ DETALLE TÉCNICO'!N247)</f>
        <v/>
      </c>
      <c r="D9" s="100" t="str">
        <f>IF('⚙️ DETALLE TÉCNICO'!M247="","",'⚙️ DETALLE TÉCNICO'!L247)</f>
        <v/>
      </c>
      <c r="E9" s="108" t="str">
        <f>IF('⚙️ DETALLE TÉCNICO'!M247="","",IFERROR(SUMPRODUCT(IFERROR(IF(('⚙️ DETALLE TÉCNICO'!E247:E266="KG")+('⚙️ DETALLE TÉCNICO'!E247:E266="LITRO")+('⚙️ DETALLE TÉCNICO'!E247:E266="GR")+('⚙️ DETALLE TÉCNICO'!E247:E266="ML"),IFERROR(VLOOKUP('⚙️ DETALLE TÉCNICO'!C247:C266,'🧂 INGREDIENTES'!$B$6:$C$500,2,0),0)*'⚙️ DETALLE TÉCNICO'!D247:D266/1000,IFERROR(VLOOKUP('⚙️ DETALLE TÉCNICO'!C247:C266,'🧂 INGREDIENTES'!$B$6:$C$500,2,0),0)*'⚙️ DETALLE TÉCNICO'!D247:D266),0)),0))</f>
        <v/>
      </c>
      <c r="F9" s="108" t="str">
        <f>IF('⚙️ DETALLE TÉCNICO'!M247="","",IFERROR(SUMPRODUCT(IFERROR('⚙️ DETALLE TÉCNICO'!G247:G251*'⚙️ DETALLE TÉCNICO'!H247:H251,0)),0))</f>
        <v/>
      </c>
      <c r="G9" s="108" t="str">
        <f>IF('⚙️ DETALLE TÉCNICO'!M247="","",IFERROR(SUM('⚙️ DETALLE TÉCNICO'!J247:J254),0))</f>
        <v/>
      </c>
      <c r="H9" s="109" t="str">
        <f>IF('⚙️ DETALLE TÉCNICO'!M247="","",E9+F9+G9)</f>
        <v/>
      </c>
      <c r="I9" s="110" t="str">
        <f>IF('⚙️ DETALLE TÉCNICO'!M247="","",'⚙️ DETALLE TÉCNICO'!K247)</f>
        <v/>
      </c>
      <c r="J9" s="111" t="str">
        <f>IF('⚙️ DETALLE TÉCNICO'!M247="","",H9*(1+I9))</f>
        <v/>
      </c>
      <c r="K9" s="10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98">
        <f t="shared" si="1"/>
        <v>5</v>
      </c>
      <c r="B10" s="105" t="str">
        <f>IF('⚙️ DETALLE TÉCNICO'!M267="","",'⚙️ DETALLE TÉCNICO'!M267)</f>
        <v/>
      </c>
      <c r="C10" s="107" t="str">
        <f>IF('⚙️ DETALLE TÉCNICO'!M267="","",'⚙️ DETALLE TÉCNICO'!N267)</f>
        <v/>
      </c>
      <c r="D10" s="100" t="str">
        <f>IF('⚙️ DETALLE TÉCNICO'!M267="","",'⚙️ DETALLE TÉCNICO'!L267)</f>
        <v/>
      </c>
      <c r="E10" s="108" t="str">
        <f>IF('⚙️ DETALLE TÉCNICO'!M267="","",IFERROR(SUMPRODUCT(IFERROR(IF(('⚙️ DETALLE TÉCNICO'!E267:E286="KG")+('⚙️ DETALLE TÉCNICO'!E267:E286="LITRO")+('⚙️ DETALLE TÉCNICO'!E267:E286="GR")+('⚙️ DETALLE TÉCNICO'!E267:E286="ML"),IFERROR(VLOOKUP('⚙️ DETALLE TÉCNICO'!C267:C286,'🧂 INGREDIENTES'!$B$6:$C$500,2,0),0)*'⚙️ DETALLE TÉCNICO'!D267:D286/1000,IFERROR(VLOOKUP('⚙️ DETALLE TÉCNICO'!C267:C286,'🧂 INGREDIENTES'!$B$6:$C$500,2,0),0)*'⚙️ DETALLE TÉCNICO'!D267:D286),0)),0))</f>
        <v/>
      </c>
      <c r="F10" s="108" t="str">
        <f>IF('⚙️ DETALLE TÉCNICO'!M267="","",IFERROR(SUMPRODUCT(IFERROR('⚙️ DETALLE TÉCNICO'!G267:G271*'⚙️ DETALLE TÉCNICO'!H267:H271,0)),0))</f>
        <v/>
      </c>
      <c r="G10" s="108" t="str">
        <f>IF('⚙️ DETALLE TÉCNICO'!M267="","",IFERROR(SUM('⚙️ DETALLE TÉCNICO'!J267:J274),0))</f>
        <v/>
      </c>
      <c r="H10" s="109" t="str">
        <f>IF('⚙️ DETALLE TÉCNICO'!M267="","",E10+F10+G10)</f>
        <v/>
      </c>
      <c r="I10" s="110" t="str">
        <f>IF('⚙️ DETALLE TÉCNICO'!M267="","",'⚙️ DETALLE TÉCNICO'!K267)</f>
        <v/>
      </c>
      <c r="J10" s="111" t="str">
        <f>IF('⚙️ DETALLE TÉCNICO'!M267="","",H10*(1+I10))</f>
        <v/>
      </c>
      <c r="K10" s="10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98">
        <f t="shared" si="1"/>
        <v>6</v>
      </c>
      <c r="B11" s="105" t="str">
        <f>IF('⚙️ DETALLE TÉCNICO'!M287="","",'⚙️ DETALLE TÉCNICO'!M287)</f>
        <v/>
      </c>
      <c r="C11" s="107" t="str">
        <f>IF('⚙️ DETALLE TÉCNICO'!M287="","",'⚙️ DETALLE TÉCNICO'!N287)</f>
        <v/>
      </c>
      <c r="D11" s="100" t="str">
        <f>IF('⚙️ DETALLE TÉCNICO'!M287="","",'⚙️ DETALLE TÉCNICO'!L287)</f>
        <v/>
      </c>
      <c r="E11" s="108" t="str">
        <f>IF('⚙️ DETALLE TÉCNICO'!M287="","",IFERROR(SUMPRODUCT(IFERROR(IF(('⚙️ DETALLE TÉCNICO'!E287:E306="KG")+('⚙️ DETALLE TÉCNICO'!E287:E306="LITRO")+('⚙️ DETALLE TÉCNICO'!E287:E306="GR")+('⚙️ DETALLE TÉCNICO'!E287:E306="ML"),IFERROR(VLOOKUP('⚙️ DETALLE TÉCNICO'!C287:C306,'🧂 INGREDIENTES'!$B$6:$C$500,2,0),0)*'⚙️ DETALLE TÉCNICO'!D287:D306/1000,IFERROR(VLOOKUP('⚙️ DETALLE TÉCNICO'!C287:C306,'🧂 INGREDIENTES'!$B$6:$C$500,2,0),0)*'⚙️ DETALLE TÉCNICO'!D287:D306),0)),0))</f>
        <v/>
      </c>
      <c r="F11" s="108" t="str">
        <f>IF('⚙️ DETALLE TÉCNICO'!M287="","",IFERROR(SUMPRODUCT(IFERROR('⚙️ DETALLE TÉCNICO'!G287:G291*'⚙️ DETALLE TÉCNICO'!H287:H291,0)),0))</f>
        <v/>
      </c>
      <c r="G11" s="108" t="str">
        <f>IF('⚙️ DETALLE TÉCNICO'!M287="","",IFERROR(SUM('⚙️ DETALLE TÉCNICO'!J287:J294),0))</f>
        <v/>
      </c>
      <c r="H11" s="109" t="str">
        <f>IF('⚙️ DETALLE TÉCNICO'!M287="","",E11+F11+G11)</f>
        <v/>
      </c>
      <c r="I11" s="110" t="str">
        <f>IF('⚙️ DETALLE TÉCNICO'!M287="","",'⚙️ DETALLE TÉCNICO'!K287)</f>
        <v/>
      </c>
      <c r="J11" s="111" t="str">
        <f>IF('⚙️ DETALLE TÉCNICO'!M287="","",H11*(1+I11))</f>
        <v/>
      </c>
      <c r="K11" s="10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98">
        <f t="shared" si="1"/>
        <v>7</v>
      </c>
      <c r="B12" s="105" t="str">
        <f>IF('⚙️ DETALLE TÉCNICO'!M307="","",'⚙️ DETALLE TÉCNICO'!M307)</f>
        <v/>
      </c>
      <c r="C12" s="107" t="str">
        <f>IF('⚙️ DETALLE TÉCNICO'!M307="","",'⚙️ DETALLE TÉCNICO'!N307)</f>
        <v/>
      </c>
      <c r="D12" s="100" t="str">
        <f>IF('⚙️ DETALLE TÉCNICO'!M307="","",'⚙️ DETALLE TÉCNICO'!L307)</f>
        <v/>
      </c>
      <c r="E12" s="108" t="str">
        <f>IF('⚙️ DETALLE TÉCNICO'!M307="","",IFERROR(SUMPRODUCT(IFERROR(IF(('⚙️ DETALLE TÉCNICO'!E307:E326="KG")+('⚙️ DETALLE TÉCNICO'!E307:E326="LITRO")+('⚙️ DETALLE TÉCNICO'!E307:E326="GR")+('⚙️ DETALLE TÉCNICO'!E307:E326="ML"),IFERROR(VLOOKUP('⚙️ DETALLE TÉCNICO'!C307:C326,'🧂 INGREDIENTES'!$B$6:$C$500,2,0),0)*'⚙️ DETALLE TÉCNICO'!D307:D326/1000,IFERROR(VLOOKUP('⚙️ DETALLE TÉCNICO'!C307:C326,'🧂 INGREDIENTES'!$B$6:$C$500,2,0),0)*'⚙️ DETALLE TÉCNICO'!D307:D326),0)),0))</f>
        <v/>
      </c>
      <c r="F12" s="108" t="str">
        <f>IF('⚙️ DETALLE TÉCNICO'!M307="","",IFERROR(SUMPRODUCT(IFERROR('⚙️ DETALLE TÉCNICO'!G307:G311*'⚙️ DETALLE TÉCNICO'!H307:H311,0)),0))</f>
        <v/>
      </c>
      <c r="G12" s="108" t="str">
        <f>IF('⚙️ DETALLE TÉCNICO'!M307="","",IFERROR(SUM('⚙️ DETALLE TÉCNICO'!J307:J314),0))</f>
        <v/>
      </c>
      <c r="H12" s="109" t="str">
        <f>IF('⚙️ DETALLE TÉCNICO'!M307="","",E12+F12+G12)</f>
        <v/>
      </c>
      <c r="I12" s="110" t="str">
        <f>IF('⚙️ DETALLE TÉCNICO'!M307="","",'⚙️ DETALLE TÉCNICO'!K307)</f>
        <v/>
      </c>
      <c r="J12" s="111" t="str">
        <f>IF('⚙️ DETALLE TÉCNICO'!M307="","",H12*(1+I12))</f>
        <v/>
      </c>
      <c r="K12" s="10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98">
        <f t="shared" si="1"/>
        <v>8</v>
      </c>
      <c r="B13" s="105" t="str">
        <f>IF('⚙️ DETALLE TÉCNICO'!M327="","",'⚙️ DETALLE TÉCNICO'!M327)</f>
        <v/>
      </c>
      <c r="C13" s="107" t="str">
        <f>IF('⚙️ DETALLE TÉCNICO'!M327="","",'⚙️ DETALLE TÉCNICO'!N327)</f>
        <v/>
      </c>
      <c r="D13" s="100" t="str">
        <f>IF('⚙️ DETALLE TÉCNICO'!M327="","",'⚙️ DETALLE TÉCNICO'!L327)</f>
        <v/>
      </c>
      <c r="E13" s="108" t="str">
        <f>IF('⚙️ DETALLE TÉCNICO'!M327="","",IFERROR(SUMPRODUCT(IFERROR(IF(('⚙️ DETALLE TÉCNICO'!E327:E346="KG")+('⚙️ DETALLE TÉCNICO'!E327:E346="LITRO")+('⚙️ DETALLE TÉCNICO'!E327:E346="GR")+('⚙️ DETALLE TÉCNICO'!E327:E346="ML"),IFERROR(VLOOKUP('⚙️ DETALLE TÉCNICO'!C327:C346,'🧂 INGREDIENTES'!$B$6:$C$500,2,0),0)*'⚙️ DETALLE TÉCNICO'!D327:D346/1000,IFERROR(VLOOKUP('⚙️ DETALLE TÉCNICO'!C327:C346,'🧂 INGREDIENTES'!$B$6:$C$500,2,0),0)*'⚙️ DETALLE TÉCNICO'!D327:D346),0)),0))</f>
        <v/>
      </c>
      <c r="F13" s="108" t="str">
        <f>IF('⚙️ DETALLE TÉCNICO'!M327="","",IFERROR(SUMPRODUCT(IFERROR('⚙️ DETALLE TÉCNICO'!G327:G331*'⚙️ DETALLE TÉCNICO'!H327:H331,0)),0))</f>
        <v/>
      </c>
      <c r="G13" s="108" t="str">
        <f>IF('⚙️ DETALLE TÉCNICO'!M327="","",IFERROR(SUM('⚙️ DETALLE TÉCNICO'!J327:J334),0))</f>
        <v/>
      </c>
      <c r="H13" s="109" t="str">
        <f>IF('⚙️ DETALLE TÉCNICO'!M327="","",E13+F13+G13)</f>
        <v/>
      </c>
      <c r="I13" s="110" t="str">
        <f>IF('⚙️ DETALLE TÉCNICO'!M327="","",'⚙️ DETALLE TÉCNICO'!K327)</f>
        <v/>
      </c>
      <c r="J13" s="111" t="str">
        <f>IF('⚙️ DETALLE TÉCNICO'!M327="","",H13*(1+I13))</f>
        <v/>
      </c>
      <c r="K13" s="10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98">
        <f t="shared" si="1"/>
        <v>9</v>
      </c>
      <c r="B14" s="105" t="str">
        <f>IF('⚙️ DETALLE TÉCNICO'!M347="","",'⚙️ DETALLE TÉCNICO'!M347)</f>
        <v/>
      </c>
      <c r="C14" s="107" t="str">
        <f>IF('⚙️ DETALLE TÉCNICO'!M347="","",'⚙️ DETALLE TÉCNICO'!N347)</f>
        <v/>
      </c>
      <c r="D14" s="100" t="str">
        <f>IF('⚙️ DETALLE TÉCNICO'!M347="","",'⚙️ DETALLE TÉCNICO'!L347)</f>
        <v/>
      </c>
      <c r="E14" s="108" t="str">
        <f>IF('⚙️ DETALLE TÉCNICO'!M347="","",IFERROR(SUMPRODUCT(IFERROR(IF(('⚙️ DETALLE TÉCNICO'!E347:E366="KG")+('⚙️ DETALLE TÉCNICO'!E347:E366="LITRO")+('⚙️ DETALLE TÉCNICO'!E347:E366="GR")+('⚙️ DETALLE TÉCNICO'!E347:E366="ML"),IFERROR(VLOOKUP('⚙️ DETALLE TÉCNICO'!C347:C366,'🧂 INGREDIENTES'!$B$6:$C$500,2,0),0)*'⚙️ DETALLE TÉCNICO'!D347:D366/1000,IFERROR(VLOOKUP('⚙️ DETALLE TÉCNICO'!C347:C366,'🧂 INGREDIENTES'!$B$6:$C$500,2,0),0)*'⚙️ DETALLE TÉCNICO'!D347:D366),0)),0))</f>
        <v/>
      </c>
      <c r="F14" s="108" t="str">
        <f>IF('⚙️ DETALLE TÉCNICO'!M347="","",IFERROR(SUMPRODUCT(IFERROR('⚙️ DETALLE TÉCNICO'!G347:G351*'⚙️ DETALLE TÉCNICO'!H347:H351,0)),0))</f>
        <v/>
      </c>
      <c r="G14" s="108" t="str">
        <f>IF('⚙️ DETALLE TÉCNICO'!M347="","",IFERROR(SUM('⚙️ DETALLE TÉCNICO'!J347:J354),0))</f>
        <v/>
      </c>
      <c r="H14" s="109" t="str">
        <f>IF('⚙️ DETALLE TÉCNICO'!M347="","",E14+F14+G14)</f>
        <v/>
      </c>
      <c r="I14" s="110" t="str">
        <f>IF('⚙️ DETALLE TÉCNICO'!M347="","",'⚙️ DETALLE TÉCNICO'!K347)</f>
        <v/>
      </c>
      <c r="J14" s="111" t="str">
        <f>IF('⚙️ DETALLE TÉCNICO'!M347="","",H14*(1+I14))</f>
        <v/>
      </c>
      <c r="K14" s="10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98">
        <f t="shared" si="1"/>
        <v>10</v>
      </c>
      <c r="B15" s="105" t="str">
        <f>IF('⚙️ DETALLE TÉCNICO'!M367="","",'⚙️ DETALLE TÉCNICO'!M367)</f>
        <v/>
      </c>
      <c r="C15" s="107" t="str">
        <f>IF('⚙️ DETALLE TÉCNICO'!M367="","",'⚙️ DETALLE TÉCNICO'!N367)</f>
        <v/>
      </c>
      <c r="D15" s="100" t="str">
        <f>IF('⚙️ DETALLE TÉCNICO'!M367="","",'⚙️ DETALLE TÉCNICO'!L367)</f>
        <v/>
      </c>
      <c r="E15" s="108" t="str">
        <f>IF('⚙️ DETALLE TÉCNICO'!M367="","",IFERROR(SUMPRODUCT(IFERROR(IF(('⚙️ DETALLE TÉCNICO'!E367:E386="KG")+('⚙️ DETALLE TÉCNICO'!E367:E386="LITRO")+('⚙️ DETALLE TÉCNICO'!E367:E386="GR")+('⚙️ DETALLE TÉCNICO'!E367:E386="ML"),IFERROR(VLOOKUP('⚙️ DETALLE TÉCNICO'!C367:C386,'🧂 INGREDIENTES'!$B$6:$C$500,2,0),0)*'⚙️ DETALLE TÉCNICO'!D367:D386/1000,IFERROR(VLOOKUP('⚙️ DETALLE TÉCNICO'!C367:C386,'🧂 INGREDIENTES'!$B$6:$C$500,2,0),0)*'⚙️ DETALLE TÉCNICO'!D367:D386),0)),0))</f>
        <v/>
      </c>
      <c r="F15" s="108" t="str">
        <f>IF('⚙️ DETALLE TÉCNICO'!M367="","",IFERROR(SUMPRODUCT(IFERROR('⚙️ DETALLE TÉCNICO'!G367:G371*'⚙️ DETALLE TÉCNICO'!H367:H371,0)),0))</f>
        <v/>
      </c>
      <c r="G15" s="108" t="str">
        <f>IF('⚙️ DETALLE TÉCNICO'!M367="","",IFERROR(SUM('⚙️ DETALLE TÉCNICO'!J367:J374),0))</f>
        <v/>
      </c>
      <c r="H15" s="109" t="str">
        <f>IF('⚙️ DETALLE TÉCNICO'!M367="","",E15+F15+G15)</f>
        <v/>
      </c>
      <c r="I15" s="110" t="str">
        <f>IF('⚙️ DETALLE TÉCNICO'!M367="","",'⚙️ DETALLE TÉCNICO'!K367)</f>
        <v/>
      </c>
      <c r="J15" s="111" t="str">
        <f>IF('⚙️ DETALLE TÉCNICO'!M367="","",H15*(1+I15))</f>
        <v/>
      </c>
      <c r="K15" s="10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98">
        <f t="shared" si="1"/>
        <v>11</v>
      </c>
      <c r="B16" s="105" t="str">
        <f>IF('⚙️ DETALLE TÉCNICO'!M387="","",'⚙️ DETALLE TÉCNICO'!M387)</f>
        <v/>
      </c>
      <c r="C16" s="107" t="str">
        <f>IF('⚙️ DETALLE TÉCNICO'!M387="","",'⚙️ DETALLE TÉCNICO'!N387)</f>
        <v/>
      </c>
      <c r="D16" s="100" t="str">
        <f>IF('⚙️ DETALLE TÉCNICO'!M387="","",'⚙️ DETALLE TÉCNICO'!L387)</f>
        <v/>
      </c>
      <c r="E16" s="108" t="str">
        <f>IF('⚙️ DETALLE TÉCNICO'!M387="","",IFERROR(SUMPRODUCT(IFERROR(IF(('⚙️ DETALLE TÉCNICO'!E387:E406="KG")+('⚙️ DETALLE TÉCNICO'!E387:E406="LITRO")+('⚙️ DETALLE TÉCNICO'!E387:E406="GR")+('⚙️ DETALLE TÉCNICO'!E387:E406="ML"),IFERROR(VLOOKUP('⚙️ DETALLE TÉCNICO'!C387:C406,'🧂 INGREDIENTES'!$B$6:$C$500,2,0),0)*'⚙️ DETALLE TÉCNICO'!D387:D406/1000,IFERROR(VLOOKUP('⚙️ DETALLE TÉCNICO'!C387:C406,'🧂 INGREDIENTES'!$B$6:$C$500,2,0),0)*'⚙️ DETALLE TÉCNICO'!D387:D406),0)),0))</f>
        <v/>
      </c>
      <c r="F16" s="108" t="str">
        <f>IF('⚙️ DETALLE TÉCNICO'!M387="","",IFERROR(SUMPRODUCT(IFERROR('⚙️ DETALLE TÉCNICO'!G387:G391*'⚙️ DETALLE TÉCNICO'!H387:H391,0)),0))</f>
        <v/>
      </c>
      <c r="G16" s="108" t="str">
        <f>IF('⚙️ DETALLE TÉCNICO'!M387="","",IFERROR(SUM('⚙️ DETALLE TÉCNICO'!J387:J394),0))</f>
        <v/>
      </c>
      <c r="H16" s="109" t="str">
        <f>IF('⚙️ DETALLE TÉCNICO'!M387="","",E16+F16+G16)</f>
        <v/>
      </c>
      <c r="I16" s="110" t="str">
        <f>IF('⚙️ DETALLE TÉCNICO'!M387="","",'⚙️ DETALLE TÉCNICO'!K387)</f>
        <v/>
      </c>
      <c r="J16" s="111" t="str">
        <f>IF('⚙️ DETALLE TÉCNICO'!M387="","",H16*(1+I16))</f>
        <v/>
      </c>
      <c r="K16" s="10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98">
        <f t="shared" si="1"/>
        <v>12</v>
      </c>
      <c r="B17" s="105" t="str">
        <f>IF('⚙️ DETALLE TÉCNICO'!M407="","",'⚙️ DETALLE TÉCNICO'!M407)</f>
        <v/>
      </c>
      <c r="C17" s="107" t="str">
        <f>IF('⚙️ DETALLE TÉCNICO'!M407="","",'⚙️ DETALLE TÉCNICO'!N407)</f>
        <v/>
      </c>
      <c r="D17" s="100" t="str">
        <f>IF('⚙️ DETALLE TÉCNICO'!M407="","",'⚙️ DETALLE TÉCNICO'!L407)</f>
        <v/>
      </c>
      <c r="E17" s="108" t="str">
        <f>IF('⚙️ DETALLE TÉCNICO'!M407="","",IFERROR(SUMPRODUCT(IFERROR(IF(('⚙️ DETALLE TÉCNICO'!E407:E426="KG")+('⚙️ DETALLE TÉCNICO'!E407:E426="LITRO")+('⚙️ DETALLE TÉCNICO'!E407:E426="GR")+('⚙️ DETALLE TÉCNICO'!E407:E426="ML"),IFERROR(VLOOKUP('⚙️ DETALLE TÉCNICO'!C407:C426,'🧂 INGREDIENTES'!$B$6:$C$500,2,0),0)*'⚙️ DETALLE TÉCNICO'!D407:D426/1000,IFERROR(VLOOKUP('⚙️ DETALLE TÉCNICO'!C407:C426,'🧂 INGREDIENTES'!$B$6:$C$500,2,0),0)*'⚙️ DETALLE TÉCNICO'!D407:D426),0)),0))</f>
        <v/>
      </c>
      <c r="F17" s="108" t="str">
        <f>IF('⚙️ DETALLE TÉCNICO'!M407="","",IFERROR(SUMPRODUCT(IFERROR('⚙️ DETALLE TÉCNICO'!G407:G411*'⚙️ DETALLE TÉCNICO'!H407:H411,0)),0))</f>
        <v/>
      </c>
      <c r="G17" s="108" t="str">
        <f>IF('⚙️ DETALLE TÉCNICO'!M407="","",IFERROR(SUM('⚙️ DETALLE TÉCNICO'!J407:J414),0))</f>
        <v/>
      </c>
      <c r="H17" s="109" t="str">
        <f>IF('⚙️ DETALLE TÉCNICO'!M407="","",E17+F17+G17)</f>
        <v/>
      </c>
      <c r="I17" s="110" t="str">
        <f>IF('⚙️ DETALLE TÉCNICO'!M407="","",'⚙️ DETALLE TÉCNICO'!K407)</f>
        <v/>
      </c>
      <c r="J17" s="111" t="str">
        <f>IF('⚙️ DETALLE TÉCNICO'!M407="","",H17*(1+I17))</f>
        <v/>
      </c>
      <c r="K17" s="10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98">
        <f t="shared" si="1"/>
        <v>13</v>
      </c>
      <c r="B18" s="105" t="str">
        <f>IF('⚙️ DETALLE TÉCNICO'!M427="","",'⚙️ DETALLE TÉCNICO'!M427)</f>
        <v/>
      </c>
      <c r="C18" s="107" t="str">
        <f>IF('⚙️ DETALLE TÉCNICO'!M427="","",'⚙️ DETALLE TÉCNICO'!N427)</f>
        <v/>
      </c>
      <c r="D18" s="100" t="str">
        <f>IF('⚙️ DETALLE TÉCNICO'!M427="","",'⚙️ DETALLE TÉCNICO'!L427)</f>
        <v/>
      </c>
      <c r="E18" s="108" t="str">
        <f>IF('⚙️ DETALLE TÉCNICO'!M427="","",IFERROR(SUMPRODUCT(IFERROR(IF(('⚙️ DETALLE TÉCNICO'!E427:E446="KG")+('⚙️ DETALLE TÉCNICO'!E427:E446="LITRO")+('⚙️ DETALLE TÉCNICO'!E427:E446="GR")+('⚙️ DETALLE TÉCNICO'!E427:E446="ML"),IFERROR(VLOOKUP('⚙️ DETALLE TÉCNICO'!C427:C446,'🧂 INGREDIENTES'!$B$6:$C$500,2,0),0)*'⚙️ DETALLE TÉCNICO'!D427:D446/1000,IFERROR(VLOOKUP('⚙️ DETALLE TÉCNICO'!C427:C446,'🧂 INGREDIENTES'!$B$6:$C$500,2,0),0)*'⚙️ DETALLE TÉCNICO'!D427:D446),0)),0))</f>
        <v/>
      </c>
      <c r="F18" s="108" t="str">
        <f>IF('⚙️ DETALLE TÉCNICO'!M427="","",IFERROR(SUMPRODUCT(IFERROR('⚙️ DETALLE TÉCNICO'!G427:G431*'⚙️ DETALLE TÉCNICO'!H427:H431,0)),0))</f>
        <v/>
      </c>
      <c r="G18" s="108" t="str">
        <f>IF('⚙️ DETALLE TÉCNICO'!M427="","",IFERROR(SUM('⚙️ DETALLE TÉCNICO'!J427:J434),0))</f>
        <v/>
      </c>
      <c r="H18" s="109" t="str">
        <f>IF('⚙️ DETALLE TÉCNICO'!M427="","",E18+F18+G18)</f>
        <v/>
      </c>
      <c r="I18" s="110" t="str">
        <f>IF('⚙️ DETALLE TÉCNICO'!M427="","",'⚙️ DETALLE TÉCNICO'!K427)</f>
        <v/>
      </c>
      <c r="J18" s="111" t="str">
        <f>IF('⚙️ DETALLE TÉCNICO'!M427="","",H18*(1+I18))</f>
        <v/>
      </c>
      <c r="K18" s="10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98">
        <f t="shared" si="1"/>
        <v>14</v>
      </c>
      <c r="B19" s="105" t="str">
        <f>IF('⚙️ DETALLE TÉCNICO'!M447="","",'⚙️ DETALLE TÉCNICO'!M447)</f>
        <v/>
      </c>
      <c r="C19" s="107" t="str">
        <f>IF('⚙️ DETALLE TÉCNICO'!M447="","",'⚙️ DETALLE TÉCNICO'!N447)</f>
        <v/>
      </c>
      <c r="D19" s="100" t="str">
        <f>IF('⚙️ DETALLE TÉCNICO'!M447="","",'⚙️ DETALLE TÉCNICO'!L447)</f>
        <v/>
      </c>
      <c r="E19" s="108" t="str">
        <f>IF('⚙️ DETALLE TÉCNICO'!M447="","",IFERROR(SUMPRODUCT(IFERROR(IF(('⚙️ DETALLE TÉCNICO'!E447:E466="KG")+('⚙️ DETALLE TÉCNICO'!E447:E466="LITRO")+('⚙️ DETALLE TÉCNICO'!E447:E466="GR")+('⚙️ DETALLE TÉCNICO'!E447:E466="ML"),IFERROR(VLOOKUP('⚙️ DETALLE TÉCNICO'!C447:C466,'🧂 INGREDIENTES'!$B$6:$C$500,2,0),0)*'⚙️ DETALLE TÉCNICO'!D447:D466/1000,IFERROR(VLOOKUP('⚙️ DETALLE TÉCNICO'!C447:C466,'🧂 INGREDIENTES'!$B$6:$C$500,2,0),0)*'⚙️ DETALLE TÉCNICO'!D447:D466),0)),0))</f>
        <v/>
      </c>
      <c r="F19" s="108" t="str">
        <f>IF('⚙️ DETALLE TÉCNICO'!M447="","",IFERROR(SUMPRODUCT(IFERROR('⚙️ DETALLE TÉCNICO'!G447:G451*'⚙️ DETALLE TÉCNICO'!H447:H451,0)),0))</f>
        <v/>
      </c>
      <c r="G19" s="108" t="str">
        <f>IF('⚙️ DETALLE TÉCNICO'!M447="","",IFERROR(SUM('⚙️ DETALLE TÉCNICO'!J447:J454),0))</f>
        <v/>
      </c>
      <c r="H19" s="109" t="str">
        <f>IF('⚙️ DETALLE TÉCNICO'!M447="","",E19+F19+G19)</f>
        <v/>
      </c>
      <c r="I19" s="110" t="str">
        <f>IF('⚙️ DETALLE TÉCNICO'!M447="","",'⚙️ DETALLE TÉCNICO'!K447)</f>
        <v/>
      </c>
      <c r="J19" s="111" t="str">
        <f>IF('⚙️ DETALLE TÉCNICO'!M447="","",H19*(1+I19))</f>
        <v/>
      </c>
      <c r="K19" s="10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98">
        <f t="shared" si="1"/>
        <v>15</v>
      </c>
      <c r="B20" s="105" t="str">
        <f>IF('⚙️ DETALLE TÉCNICO'!M467="","",'⚙️ DETALLE TÉCNICO'!M467)</f>
        <v/>
      </c>
      <c r="C20" s="107" t="str">
        <f>IF('⚙️ DETALLE TÉCNICO'!M467="","",'⚙️ DETALLE TÉCNICO'!N467)</f>
        <v/>
      </c>
      <c r="D20" s="100" t="str">
        <f>IF('⚙️ DETALLE TÉCNICO'!M467="","",'⚙️ DETALLE TÉCNICO'!L467)</f>
        <v/>
      </c>
      <c r="E20" s="108" t="str">
        <f>IF('⚙️ DETALLE TÉCNICO'!M467="","",IFERROR(SUMPRODUCT(IFERROR(IF(('⚙️ DETALLE TÉCNICO'!E467:E486="KG")+('⚙️ DETALLE TÉCNICO'!E467:E486="LITRO")+('⚙️ DETALLE TÉCNICO'!E467:E486="GR")+('⚙️ DETALLE TÉCNICO'!E467:E486="ML"),IFERROR(VLOOKUP('⚙️ DETALLE TÉCNICO'!C467:C486,'🧂 INGREDIENTES'!$B$6:$C$500,2,0),0)*'⚙️ DETALLE TÉCNICO'!D467:D486/1000,IFERROR(VLOOKUP('⚙️ DETALLE TÉCNICO'!C467:C486,'🧂 INGREDIENTES'!$B$6:$C$500,2,0),0)*'⚙️ DETALLE TÉCNICO'!D467:D486),0)),0))</f>
        <v/>
      </c>
      <c r="F20" s="108" t="str">
        <f>IF('⚙️ DETALLE TÉCNICO'!M467="","",IFERROR(SUMPRODUCT(IFERROR('⚙️ DETALLE TÉCNICO'!G467:G471*'⚙️ DETALLE TÉCNICO'!H467:H471,0)),0))</f>
        <v/>
      </c>
      <c r="G20" s="108" t="str">
        <f>IF('⚙️ DETALLE TÉCNICO'!M467="","",IFERROR(SUM('⚙️ DETALLE TÉCNICO'!J467:J474),0))</f>
        <v/>
      </c>
      <c r="H20" s="109" t="str">
        <f>IF('⚙️ DETALLE TÉCNICO'!M467="","",E20+F20+G20)</f>
        <v/>
      </c>
      <c r="I20" s="110" t="str">
        <f>IF('⚙️ DETALLE TÉCNICO'!M467="","",'⚙️ DETALLE TÉCNICO'!K467)</f>
        <v/>
      </c>
      <c r="J20" s="111" t="str">
        <f>IF('⚙️ DETALLE TÉCNICO'!M467="","",H20*(1+I20))</f>
        <v/>
      </c>
      <c r="K20" s="10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98">
        <f t="shared" si="1"/>
        <v>16</v>
      </c>
      <c r="B21" s="105" t="str">
        <f>IF('⚙️ DETALLE TÉCNICO'!M487="","",'⚙️ DETALLE TÉCNICO'!M487)</f>
        <v/>
      </c>
      <c r="C21" s="107" t="str">
        <f>IF('⚙️ DETALLE TÉCNICO'!M487="","",'⚙️ DETALLE TÉCNICO'!N487)</f>
        <v/>
      </c>
      <c r="D21" s="100" t="str">
        <f>IF('⚙️ DETALLE TÉCNICO'!M487="","",'⚙️ DETALLE TÉCNICO'!L487)</f>
        <v/>
      </c>
      <c r="E21" s="108" t="str">
        <f>IF('⚙️ DETALLE TÉCNICO'!M487="","",IFERROR(SUMPRODUCT(IFERROR(IF(('⚙️ DETALLE TÉCNICO'!E487:E506="KG")+('⚙️ DETALLE TÉCNICO'!E487:E506="LITRO")+('⚙️ DETALLE TÉCNICO'!E487:E506="GR")+('⚙️ DETALLE TÉCNICO'!E487:E506="ML"),IFERROR(VLOOKUP('⚙️ DETALLE TÉCNICO'!C487:C506,'🧂 INGREDIENTES'!$B$6:$C$500,2,0),0)*'⚙️ DETALLE TÉCNICO'!D487:D506/1000,IFERROR(VLOOKUP('⚙️ DETALLE TÉCNICO'!C487:C506,'🧂 INGREDIENTES'!$B$6:$C$500,2,0),0)*'⚙️ DETALLE TÉCNICO'!D487:D506),0)),0))</f>
        <v/>
      </c>
      <c r="F21" s="108" t="str">
        <f>IF('⚙️ DETALLE TÉCNICO'!M487="","",IFERROR(SUMPRODUCT(IFERROR('⚙️ DETALLE TÉCNICO'!G487:G491*'⚙️ DETALLE TÉCNICO'!H487:H491,0)),0))</f>
        <v/>
      </c>
      <c r="G21" s="108" t="str">
        <f>IF('⚙️ DETALLE TÉCNICO'!M487="","",IFERROR(SUM('⚙️ DETALLE TÉCNICO'!J487:J494),0))</f>
        <v/>
      </c>
      <c r="H21" s="109" t="str">
        <f>IF('⚙️ DETALLE TÉCNICO'!M487="","",E21+F21+G21)</f>
        <v/>
      </c>
      <c r="I21" s="110" t="str">
        <f>IF('⚙️ DETALLE TÉCNICO'!M487="","",'⚙️ DETALLE TÉCNICO'!K487)</f>
        <v/>
      </c>
      <c r="J21" s="111" t="str">
        <f>IF('⚙️ DETALLE TÉCNICO'!M487="","",H21*(1+I21))</f>
        <v/>
      </c>
      <c r="K21" s="10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98">
        <f t="shared" si="1"/>
        <v>17</v>
      </c>
      <c r="B22" s="105" t="str">
        <f>IF('⚙️ DETALLE TÉCNICO'!M507="","",'⚙️ DETALLE TÉCNICO'!M507)</f>
        <v/>
      </c>
      <c r="C22" s="107" t="str">
        <f>IF('⚙️ DETALLE TÉCNICO'!M507="","",'⚙️ DETALLE TÉCNICO'!N507)</f>
        <v/>
      </c>
      <c r="D22" s="100" t="str">
        <f>IF('⚙️ DETALLE TÉCNICO'!M507="","",'⚙️ DETALLE TÉCNICO'!L507)</f>
        <v/>
      </c>
      <c r="E22" s="108" t="str">
        <f>IF('⚙️ DETALLE TÉCNICO'!M507="","",IFERROR(SUMPRODUCT(IFERROR(IF(('⚙️ DETALLE TÉCNICO'!E507:E526="KG")+('⚙️ DETALLE TÉCNICO'!E507:E526="LITRO")+('⚙️ DETALLE TÉCNICO'!E507:E526="GR")+('⚙️ DETALLE TÉCNICO'!E507:E526="ML"),IFERROR(VLOOKUP('⚙️ DETALLE TÉCNICO'!C507:C526,'🧂 INGREDIENTES'!$B$6:$C$500,2,0),0)*'⚙️ DETALLE TÉCNICO'!D507:D526/1000,IFERROR(VLOOKUP('⚙️ DETALLE TÉCNICO'!C507:C526,'🧂 INGREDIENTES'!$B$6:$C$500,2,0),0)*'⚙️ DETALLE TÉCNICO'!D507:D526),0)),0))</f>
        <v/>
      </c>
      <c r="F22" s="108" t="str">
        <f>IF('⚙️ DETALLE TÉCNICO'!M507="","",IFERROR(SUMPRODUCT(IFERROR('⚙️ DETALLE TÉCNICO'!G507:G511*'⚙️ DETALLE TÉCNICO'!H507:H511,0)),0))</f>
        <v/>
      </c>
      <c r="G22" s="108" t="str">
        <f>IF('⚙️ DETALLE TÉCNICO'!M507="","",IFERROR(SUM('⚙️ DETALLE TÉCNICO'!J507:J514),0))</f>
        <v/>
      </c>
      <c r="H22" s="109" t="str">
        <f>IF('⚙️ DETALLE TÉCNICO'!M507="","",E22+F22+G22)</f>
        <v/>
      </c>
      <c r="I22" s="110" t="str">
        <f>IF('⚙️ DETALLE TÉCNICO'!M507="","",'⚙️ DETALLE TÉCNICO'!K507)</f>
        <v/>
      </c>
      <c r="J22" s="111" t="str">
        <f>IF('⚙️ DETALLE TÉCNICO'!M507="","",H22*(1+I22))</f>
        <v/>
      </c>
      <c r="K22" s="10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98">
        <f t="shared" si="1"/>
        <v>18</v>
      </c>
      <c r="B23" s="105" t="str">
        <f>IF('⚙️ DETALLE TÉCNICO'!M527="","",'⚙️ DETALLE TÉCNICO'!M527)</f>
        <v/>
      </c>
      <c r="C23" s="107" t="str">
        <f>IF('⚙️ DETALLE TÉCNICO'!M527="","",'⚙️ DETALLE TÉCNICO'!N527)</f>
        <v/>
      </c>
      <c r="D23" s="100" t="str">
        <f>IF('⚙️ DETALLE TÉCNICO'!M527="","",'⚙️ DETALLE TÉCNICO'!L527)</f>
        <v/>
      </c>
      <c r="E23" s="108" t="str">
        <f>IF('⚙️ DETALLE TÉCNICO'!M527="","",IFERROR(SUMPRODUCT(IFERROR(IF(('⚙️ DETALLE TÉCNICO'!E527:E546="KG")+('⚙️ DETALLE TÉCNICO'!E527:E546="LITRO")+('⚙️ DETALLE TÉCNICO'!E527:E546="GR")+('⚙️ DETALLE TÉCNICO'!E527:E546="ML"),IFERROR(VLOOKUP('⚙️ DETALLE TÉCNICO'!C527:C546,'🧂 INGREDIENTES'!$B$6:$C$500,2,0),0)*'⚙️ DETALLE TÉCNICO'!D527:D546/1000,IFERROR(VLOOKUP('⚙️ DETALLE TÉCNICO'!C527:C546,'🧂 INGREDIENTES'!$B$6:$C$500,2,0),0)*'⚙️ DETALLE TÉCNICO'!D527:D546),0)),0))</f>
        <v/>
      </c>
      <c r="F23" s="108" t="str">
        <f>IF('⚙️ DETALLE TÉCNICO'!M527="","",IFERROR(SUMPRODUCT(IFERROR('⚙️ DETALLE TÉCNICO'!G527:G531*'⚙️ DETALLE TÉCNICO'!H527:H531,0)),0))</f>
        <v/>
      </c>
      <c r="G23" s="108" t="str">
        <f>IF('⚙️ DETALLE TÉCNICO'!M527="","",IFERROR(SUM('⚙️ DETALLE TÉCNICO'!J527:J534),0))</f>
        <v/>
      </c>
      <c r="H23" s="109" t="str">
        <f>IF('⚙️ DETALLE TÉCNICO'!M527="","",E23+F23+G23)</f>
        <v/>
      </c>
      <c r="I23" s="110" t="str">
        <f>IF('⚙️ DETALLE TÉCNICO'!M527="","",'⚙️ DETALLE TÉCNICO'!K527)</f>
        <v/>
      </c>
      <c r="J23" s="111" t="str">
        <f>IF('⚙️ DETALLE TÉCNICO'!M527="","",H23*(1+I23))</f>
        <v/>
      </c>
      <c r="K23" s="10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98">
        <f t="shared" si="1"/>
        <v>19</v>
      </c>
      <c r="B24" s="105" t="str">
        <f>IF('⚙️ DETALLE TÉCNICO'!M547="","",'⚙️ DETALLE TÉCNICO'!M547)</f>
        <v/>
      </c>
      <c r="C24" s="107" t="str">
        <f>IF('⚙️ DETALLE TÉCNICO'!M547="","",'⚙️ DETALLE TÉCNICO'!N547)</f>
        <v/>
      </c>
      <c r="D24" s="100" t="str">
        <f>IF('⚙️ DETALLE TÉCNICO'!M547="","",'⚙️ DETALLE TÉCNICO'!L547)</f>
        <v/>
      </c>
      <c r="E24" s="108" t="str">
        <f>IF('⚙️ DETALLE TÉCNICO'!M547="","",IFERROR(SUMPRODUCT(IFERROR(IF(('⚙️ DETALLE TÉCNICO'!E547:E566="KG")+('⚙️ DETALLE TÉCNICO'!E547:E566="LITRO")+('⚙️ DETALLE TÉCNICO'!E547:E566="GR")+('⚙️ DETALLE TÉCNICO'!E547:E566="ML"),IFERROR(VLOOKUP('⚙️ DETALLE TÉCNICO'!C547:C566,'🧂 INGREDIENTES'!$B$6:$C$500,2,0),0)*'⚙️ DETALLE TÉCNICO'!D547:D566/1000,IFERROR(VLOOKUP('⚙️ DETALLE TÉCNICO'!C547:C566,'🧂 INGREDIENTES'!$B$6:$C$500,2,0),0)*'⚙️ DETALLE TÉCNICO'!D547:D566),0)),0))</f>
        <v/>
      </c>
      <c r="F24" s="108" t="str">
        <f>IF('⚙️ DETALLE TÉCNICO'!M547="","",IFERROR(SUMPRODUCT(IFERROR('⚙️ DETALLE TÉCNICO'!G547:G551*'⚙️ DETALLE TÉCNICO'!H547:H551,0)),0))</f>
        <v/>
      </c>
      <c r="G24" s="108" t="str">
        <f>IF('⚙️ DETALLE TÉCNICO'!M547="","",IFERROR(SUM('⚙️ DETALLE TÉCNICO'!J547:J554),0))</f>
        <v/>
      </c>
      <c r="H24" s="109" t="str">
        <f>IF('⚙️ DETALLE TÉCNICO'!M547="","",E24+F24+G24)</f>
        <v/>
      </c>
      <c r="I24" s="110" t="str">
        <f>IF('⚙️ DETALLE TÉCNICO'!M547="","",'⚙️ DETALLE TÉCNICO'!K547)</f>
        <v/>
      </c>
      <c r="J24" s="111" t="str">
        <f>IF('⚙️ DETALLE TÉCNICO'!M547="","",H24*(1+I24))</f>
        <v/>
      </c>
      <c r="K24" s="10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98">
        <f t="shared" si="1"/>
        <v>20</v>
      </c>
      <c r="B25" s="105" t="str">
        <f>IF('⚙️ DETALLE TÉCNICO'!M567="","",'⚙️ DETALLE TÉCNICO'!M567)</f>
        <v/>
      </c>
      <c r="C25" s="107" t="str">
        <f>IF('⚙️ DETALLE TÉCNICO'!M567="","",'⚙️ DETALLE TÉCNICO'!N567)</f>
        <v/>
      </c>
      <c r="D25" s="100" t="str">
        <f>IF('⚙️ DETALLE TÉCNICO'!M567="","",'⚙️ DETALLE TÉCNICO'!L567)</f>
        <v/>
      </c>
      <c r="E25" s="108" t="str">
        <f>IF('⚙️ DETALLE TÉCNICO'!M567="","",IFERROR(SUMPRODUCT(IFERROR(IF(('⚙️ DETALLE TÉCNICO'!E567:E586="KG")+('⚙️ DETALLE TÉCNICO'!E567:E586="LITRO")+('⚙️ DETALLE TÉCNICO'!E567:E586="GR")+('⚙️ DETALLE TÉCNICO'!E567:E586="ML"),IFERROR(VLOOKUP('⚙️ DETALLE TÉCNICO'!C567:C586,'🧂 INGREDIENTES'!$B$6:$C$500,2,0),0)*'⚙️ DETALLE TÉCNICO'!D567:D586/1000,IFERROR(VLOOKUP('⚙️ DETALLE TÉCNICO'!C567:C586,'🧂 INGREDIENTES'!$B$6:$C$500,2,0),0)*'⚙️ DETALLE TÉCNICO'!D567:D586),0)),0))</f>
        <v/>
      </c>
      <c r="F25" s="108" t="str">
        <f>IF('⚙️ DETALLE TÉCNICO'!M567="","",IFERROR(SUMPRODUCT(IFERROR('⚙️ DETALLE TÉCNICO'!G567:G571*'⚙️ DETALLE TÉCNICO'!H567:H571,0)),0))</f>
        <v/>
      </c>
      <c r="G25" s="108" t="str">
        <f>IF('⚙️ DETALLE TÉCNICO'!M567="","",IFERROR(SUM('⚙️ DETALLE TÉCNICO'!J567:J574),0))</f>
        <v/>
      </c>
      <c r="H25" s="109" t="str">
        <f>IF('⚙️ DETALLE TÉCNICO'!M567="","",E25+F25+G25)</f>
        <v/>
      </c>
      <c r="I25" s="110" t="str">
        <f>IF('⚙️ DETALLE TÉCNICO'!M567="","",'⚙️ DETALLE TÉCNICO'!K567)</f>
        <v/>
      </c>
      <c r="J25" s="111" t="str">
        <f>IF('⚙️ DETALLE TÉCNICO'!M567="","",H25*(1+I25))</f>
        <v/>
      </c>
      <c r="K25" s="10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98">
        <f t="shared" si="1"/>
        <v>21</v>
      </c>
      <c r="B26" s="105" t="str">
        <f>IF('⚙️ DETALLE TÉCNICO'!M587="","",'⚙️ DETALLE TÉCNICO'!M587)</f>
        <v/>
      </c>
      <c r="C26" s="107" t="str">
        <f>IF('⚙️ DETALLE TÉCNICO'!M587="","",'⚙️ DETALLE TÉCNICO'!N587)</f>
        <v/>
      </c>
      <c r="D26" s="100" t="str">
        <f>IF('⚙️ DETALLE TÉCNICO'!M587="","",'⚙️ DETALLE TÉCNICO'!L587)</f>
        <v/>
      </c>
      <c r="E26" s="108" t="str">
        <f>IF('⚙️ DETALLE TÉCNICO'!M587="","",IFERROR(SUMPRODUCT(IFERROR(IF(('⚙️ DETALLE TÉCNICO'!E587:E606="KG")+('⚙️ DETALLE TÉCNICO'!E587:E606="LITRO")+('⚙️ DETALLE TÉCNICO'!E587:E606="GR")+('⚙️ DETALLE TÉCNICO'!E587:E606="ML"),IFERROR(VLOOKUP('⚙️ DETALLE TÉCNICO'!C587:C606,'🧂 INGREDIENTES'!$B$6:$C$500,2,0),0)*'⚙️ DETALLE TÉCNICO'!D587:D606/1000,IFERROR(VLOOKUP('⚙️ DETALLE TÉCNICO'!C587:C606,'🧂 INGREDIENTES'!$B$6:$C$500,2,0),0)*'⚙️ DETALLE TÉCNICO'!D587:D606),0)),0))</f>
        <v/>
      </c>
      <c r="F26" s="108" t="str">
        <f>IF('⚙️ DETALLE TÉCNICO'!M587="","",IFERROR(SUMPRODUCT(IFERROR('⚙️ DETALLE TÉCNICO'!G587:G591*'⚙️ DETALLE TÉCNICO'!H587:H591,0)),0))</f>
        <v/>
      </c>
      <c r="G26" s="108" t="str">
        <f>IF('⚙️ DETALLE TÉCNICO'!M587="","",IFERROR(SUM('⚙️ DETALLE TÉCNICO'!J587:J594),0))</f>
        <v/>
      </c>
      <c r="H26" s="109" t="str">
        <f>IF('⚙️ DETALLE TÉCNICO'!M587="","",E26+F26+G26)</f>
        <v/>
      </c>
      <c r="I26" s="110" t="str">
        <f>IF('⚙️ DETALLE TÉCNICO'!M587="","",'⚙️ DETALLE TÉCNICO'!K587)</f>
        <v/>
      </c>
      <c r="J26" s="111" t="str">
        <f>IF('⚙️ DETALLE TÉCNICO'!M587="","",H26*(1+I26))</f>
        <v/>
      </c>
      <c r="K26" s="10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98">
        <f t="shared" si="1"/>
        <v>22</v>
      </c>
      <c r="B27" s="105" t="str">
        <f>IF('⚙️ DETALLE TÉCNICO'!M607="","",'⚙️ DETALLE TÉCNICO'!M607)</f>
        <v/>
      </c>
      <c r="C27" s="107" t="str">
        <f>IF('⚙️ DETALLE TÉCNICO'!M607="","",'⚙️ DETALLE TÉCNICO'!N607)</f>
        <v/>
      </c>
      <c r="D27" s="100" t="str">
        <f>IF('⚙️ DETALLE TÉCNICO'!M607="","",'⚙️ DETALLE TÉCNICO'!L607)</f>
        <v/>
      </c>
      <c r="E27" s="108" t="str">
        <f>IF('⚙️ DETALLE TÉCNICO'!M607="","",IFERROR(SUMPRODUCT(IFERROR(IF(('⚙️ DETALLE TÉCNICO'!E607:E626="KG")+('⚙️ DETALLE TÉCNICO'!E607:E626="LITRO")+('⚙️ DETALLE TÉCNICO'!E607:E626="GR")+('⚙️ DETALLE TÉCNICO'!E607:E626="ML"),IFERROR(VLOOKUP('⚙️ DETALLE TÉCNICO'!C607:C626,'🧂 INGREDIENTES'!$B$6:$C$500,2,0),0)*'⚙️ DETALLE TÉCNICO'!D607:D626/1000,IFERROR(VLOOKUP('⚙️ DETALLE TÉCNICO'!C607:C626,'🧂 INGREDIENTES'!$B$6:$C$500,2,0),0)*'⚙️ DETALLE TÉCNICO'!D607:D626),0)),0))</f>
        <v/>
      </c>
      <c r="F27" s="108" t="str">
        <f>IF('⚙️ DETALLE TÉCNICO'!M607="","",IFERROR(SUMPRODUCT(IFERROR('⚙️ DETALLE TÉCNICO'!G607:G611*'⚙️ DETALLE TÉCNICO'!H607:H611,0)),0))</f>
        <v/>
      </c>
      <c r="G27" s="108" t="str">
        <f>IF('⚙️ DETALLE TÉCNICO'!M607="","",IFERROR(SUM('⚙️ DETALLE TÉCNICO'!J607:J614),0))</f>
        <v/>
      </c>
      <c r="H27" s="109" t="str">
        <f>IF('⚙️ DETALLE TÉCNICO'!M607="","",E27+F27+G27)</f>
        <v/>
      </c>
      <c r="I27" s="110" t="str">
        <f>IF('⚙️ DETALLE TÉCNICO'!M607="","",'⚙️ DETALLE TÉCNICO'!K607)</f>
        <v/>
      </c>
      <c r="J27" s="111" t="str">
        <f>IF('⚙️ DETALLE TÉCNICO'!M607="","",H27*(1+I27))</f>
        <v/>
      </c>
      <c r="K27" s="10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98">
        <f t="shared" si="1"/>
        <v>23</v>
      </c>
      <c r="B28" s="105" t="str">
        <f>IF('⚙️ DETALLE TÉCNICO'!M627="","",'⚙️ DETALLE TÉCNICO'!M627)</f>
        <v/>
      </c>
      <c r="C28" s="107" t="str">
        <f>IF('⚙️ DETALLE TÉCNICO'!M627="","",'⚙️ DETALLE TÉCNICO'!N627)</f>
        <v/>
      </c>
      <c r="D28" s="100" t="str">
        <f>IF('⚙️ DETALLE TÉCNICO'!M627="","",'⚙️ DETALLE TÉCNICO'!L627)</f>
        <v/>
      </c>
      <c r="E28" s="108" t="str">
        <f>IF('⚙️ DETALLE TÉCNICO'!M627="","",IFERROR(SUMPRODUCT(IFERROR(IF(('⚙️ DETALLE TÉCNICO'!E627:E646="KG")+('⚙️ DETALLE TÉCNICO'!E627:E646="LITRO")+('⚙️ DETALLE TÉCNICO'!E627:E646="GR")+('⚙️ DETALLE TÉCNICO'!E627:E646="ML"),IFERROR(VLOOKUP('⚙️ DETALLE TÉCNICO'!C627:C646,'🧂 INGREDIENTES'!$B$6:$C$500,2,0),0)*'⚙️ DETALLE TÉCNICO'!D627:D646/1000,IFERROR(VLOOKUP('⚙️ DETALLE TÉCNICO'!C627:C646,'🧂 INGREDIENTES'!$B$6:$C$500,2,0),0)*'⚙️ DETALLE TÉCNICO'!D627:D646),0)),0))</f>
        <v/>
      </c>
      <c r="F28" s="108" t="str">
        <f>IF('⚙️ DETALLE TÉCNICO'!M627="","",IFERROR(SUMPRODUCT(IFERROR('⚙️ DETALLE TÉCNICO'!G627:G631*'⚙️ DETALLE TÉCNICO'!H627:H631,0)),0))</f>
        <v/>
      </c>
      <c r="G28" s="108" t="str">
        <f>IF('⚙️ DETALLE TÉCNICO'!M627="","",IFERROR(SUM('⚙️ DETALLE TÉCNICO'!J627:J634),0))</f>
        <v/>
      </c>
      <c r="H28" s="109" t="str">
        <f>IF('⚙️ DETALLE TÉCNICO'!M627="","",E28+F28+G28)</f>
        <v/>
      </c>
      <c r="I28" s="110" t="str">
        <f>IF('⚙️ DETALLE TÉCNICO'!M627="","",'⚙️ DETALLE TÉCNICO'!K627)</f>
        <v/>
      </c>
      <c r="J28" s="111" t="str">
        <f>IF('⚙️ DETALLE TÉCNICO'!M627="","",H28*(1+I28))</f>
        <v/>
      </c>
      <c r="K28" s="10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98">
        <f t="shared" si="1"/>
        <v>24</v>
      </c>
      <c r="B29" s="105" t="str">
        <f>IF('⚙️ DETALLE TÉCNICO'!M647="","",'⚙️ DETALLE TÉCNICO'!M647)</f>
        <v/>
      </c>
      <c r="C29" s="107" t="str">
        <f>IF('⚙️ DETALLE TÉCNICO'!M647="","",'⚙️ DETALLE TÉCNICO'!N647)</f>
        <v/>
      </c>
      <c r="D29" s="100" t="str">
        <f>IF('⚙️ DETALLE TÉCNICO'!M647="","",'⚙️ DETALLE TÉCNICO'!L647)</f>
        <v/>
      </c>
      <c r="E29" s="108" t="str">
        <f>IF('⚙️ DETALLE TÉCNICO'!M647="","",IFERROR(SUMPRODUCT(IFERROR(IF(('⚙️ DETALLE TÉCNICO'!E647:E666="KG")+('⚙️ DETALLE TÉCNICO'!E647:E666="LITRO")+('⚙️ DETALLE TÉCNICO'!E647:E666="GR")+('⚙️ DETALLE TÉCNICO'!E647:E666="ML"),IFERROR(VLOOKUP('⚙️ DETALLE TÉCNICO'!C647:C666,'🧂 INGREDIENTES'!$B$6:$C$500,2,0),0)*'⚙️ DETALLE TÉCNICO'!D647:D666/1000,IFERROR(VLOOKUP('⚙️ DETALLE TÉCNICO'!C647:C666,'🧂 INGREDIENTES'!$B$6:$C$500,2,0),0)*'⚙️ DETALLE TÉCNICO'!D647:D666),0)),0))</f>
        <v/>
      </c>
      <c r="F29" s="108" t="str">
        <f>IF('⚙️ DETALLE TÉCNICO'!M647="","",IFERROR(SUMPRODUCT(IFERROR('⚙️ DETALLE TÉCNICO'!G647:G651*'⚙️ DETALLE TÉCNICO'!H647:H651,0)),0))</f>
        <v/>
      </c>
      <c r="G29" s="108" t="str">
        <f>IF('⚙️ DETALLE TÉCNICO'!M647="","",IFERROR(SUM('⚙️ DETALLE TÉCNICO'!J647:J654),0))</f>
        <v/>
      </c>
      <c r="H29" s="109" t="str">
        <f>IF('⚙️ DETALLE TÉCNICO'!M647="","",E29+F29+G29)</f>
        <v/>
      </c>
      <c r="I29" s="110" t="str">
        <f>IF('⚙️ DETALLE TÉCNICO'!M647="","",'⚙️ DETALLE TÉCNICO'!K647)</f>
        <v/>
      </c>
      <c r="J29" s="111" t="str">
        <f>IF('⚙️ DETALLE TÉCNICO'!M647="","",H29*(1+I29))</f>
        <v/>
      </c>
      <c r="K29" s="10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98">
        <f t="shared" si="1"/>
        <v>25</v>
      </c>
      <c r="B30" s="105" t="str">
        <f>IF('⚙️ DETALLE TÉCNICO'!M667="","",'⚙️ DETALLE TÉCNICO'!M667)</f>
        <v/>
      </c>
      <c r="C30" s="107" t="str">
        <f>IF('⚙️ DETALLE TÉCNICO'!M667="","",'⚙️ DETALLE TÉCNICO'!N667)</f>
        <v/>
      </c>
      <c r="D30" s="100" t="str">
        <f>IF('⚙️ DETALLE TÉCNICO'!M667="","",'⚙️ DETALLE TÉCNICO'!L667)</f>
        <v/>
      </c>
      <c r="E30" s="108" t="str">
        <f>IF('⚙️ DETALLE TÉCNICO'!M667="","",IFERROR(SUMPRODUCT(IFERROR(IF(('⚙️ DETALLE TÉCNICO'!E667:E686="KG")+('⚙️ DETALLE TÉCNICO'!E667:E686="LITRO")+('⚙️ DETALLE TÉCNICO'!E667:E686="GR")+('⚙️ DETALLE TÉCNICO'!E667:E686="ML"),IFERROR(VLOOKUP('⚙️ DETALLE TÉCNICO'!C667:C686,'🧂 INGREDIENTES'!$B$6:$C$500,2,0),0)*'⚙️ DETALLE TÉCNICO'!D667:D686/1000,IFERROR(VLOOKUP('⚙️ DETALLE TÉCNICO'!C667:C686,'🧂 INGREDIENTES'!$B$6:$C$500,2,0),0)*'⚙️ DETALLE TÉCNICO'!D667:D686),0)),0))</f>
        <v/>
      </c>
      <c r="F30" s="108" t="str">
        <f>IF('⚙️ DETALLE TÉCNICO'!M667="","",IFERROR(SUMPRODUCT(IFERROR('⚙️ DETALLE TÉCNICO'!G667:G671*'⚙️ DETALLE TÉCNICO'!H667:H671,0)),0))</f>
        <v/>
      </c>
      <c r="G30" s="108" t="str">
        <f>IF('⚙️ DETALLE TÉCNICO'!M667="","",IFERROR(SUM('⚙️ DETALLE TÉCNICO'!J667:J674),0))</f>
        <v/>
      </c>
      <c r="H30" s="109" t="str">
        <f>IF('⚙️ DETALLE TÉCNICO'!M667="","",E30+F30+G30)</f>
        <v/>
      </c>
      <c r="I30" s="110" t="str">
        <f>IF('⚙️ DETALLE TÉCNICO'!M667="","",'⚙️ DETALLE TÉCNICO'!K667)</f>
        <v/>
      </c>
      <c r="J30" s="111" t="str">
        <f>IF('⚙️ DETALLE TÉCNICO'!M667="","",H30*(1+I30))</f>
        <v/>
      </c>
      <c r="K30" s="10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98">
        <f t="shared" si="1"/>
        <v>26</v>
      </c>
      <c r="B31" s="105" t="str">
        <f>IF('⚙️ DETALLE TÉCNICO'!M687="","",'⚙️ DETALLE TÉCNICO'!M687)</f>
        <v/>
      </c>
      <c r="C31" s="107" t="str">
        <f>IF('⚙️ DETALLE TÉCNICO'!M687="","",'⚙️ DETALLE TÉCNICO'!N687)</f>
        <v/>
      </c>
      <c r="D31" s="100" t="str">
        <f>IF('⚙️ DETALLE TÉCNICO'!M687="","",'⚙️ DETALLE TÉCNICO'!L687)</f>
        <v/>
      </c>
      <c r="E31" s="108" t="str">
        <f>IF('⚙️ DETALLE TÉCNICO'!M687="","",IFERROR(SUMPRODUCT(IFERROR(IF(('⚙️ DETALLE TÉCNICO'!E687:E706="KG")+('⚙️ DETALLE TÉCNICO'!E687:E706="LITRO")+('⚙️ DETALLE TÉCNICO'!E687:E706="GR")+('⚙️ DETALLE TÉCNICO'!E687:E706="ML"),IFERROR(VLOOKUP('⚙️ DETALLE TÉCNICO'!C687:C706,'🧂 INGREDIENTES'!$B$6:$C$500,2,0),0)*'⚙️ DETALLE TÉCNICO'!D687:D706/1000,IFERROR(VLOOKUP('⚙️ DETALLE TÉCNICO'!C687:C706,'🧂 INGREDIENTES'!$B$6:$C$500,2,0),0)*'⚙️ DETALLE TÉCNICO'!D687:D706),0)),0))</f>
        <v/>
      </c>
      <c r="F31" s="108" t="str">
        <f>IF('⚙️ DETALLE TÉCNICO'!M687="","",IFERROR(SUMPRODUCT(IFERROR('⚙️ DETALLE TÉCNICO'!G687:G691*'⚙️ DETALLE TÉCNICO'!H687:H691,0)),0))</f>
        <v/>
      </c>
      <c r="G31" s="108" t="str">
        <f>IF('⚙️ DETALLE TÉCNICO'!M687="","",IFERROR(SUM('⚙️ DETALLE TÉCNICO'!J687:J694),0))</f>
        <v/>
      </c>
      <c r="H31" s="109" t="str">
        <f>IF('⚙️ DETALLE TÉCNICO'!M687="","",E31+F31+G31)</f>
        <v/>
      </c>
      <c r="I31" s="110" t="str">
        <f>IF('⚙️ DETALLE TÉCNICO'!M687="","",'⚙️ DETALLE TÉCNICO'!K687)</f>
        <v/>
      </c>
      <c r="J31" s="111" t="str">
        <f>IF('⚙️ DETALLE TÉCNICO'!M687="","",H31*(1+I31))</f>
        <v/>
      </c>
      <c r="K31" s="10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98">
        <f t="shared" si="1"/>
        <v>27</v>
      </c>
      <c r="B32" s="105" t="str">
        <f>IF('⚙️ DETALLE TÉCNICO'!M707="","",'⚙️ DETALLE TÉCNICO'!M707)</f>
        <v/>
      </c>
      <c r="C32" s="107" t="str">
        <f>IF('⚙️ DETALLE TÉCNICO'!M707="","",'⚙️ DETALLE TÉCNICO'!N707)</f>
        <v/>
      </c>
      <c r="D32" s="100" t="str">
        <f>IF('⚙️ DETALLE TÉCNICO'!M707="","",'⚙️ DETALLE TÉCNICO'!L707)</f>
        <v/>
      </c>
      <c r="E32" s="108" t="str">
        <f>IF('⚙️ DETALLE TÉCNICO'!M707="","",IFERROR(SUMPRODUCT(IFERROR(IF(('⚙️ DETALLE TÉCNICO'!E707:E726="KG")+('⚙️ DETALLE TÉCNICO'!E707:E726="LITRO")+('⚙️ DETALLE TÉCNICO'!E707:E726="GR")+('⚙️ DETALLE TÉCNICO'!E707:E726="ML"),IFERROR(VLOOKUP('⚙️ DETALLE TÉCNICO'!C707:C726,'🧂 INGREDIENTES'!$B$6:$C$500,2,0),0)*'⚙️ DETALLE TÉCNICO'!D707:D726/1000,IFERROR(VLOOKUP('⚙️ DETALLE TÉCNICO'!C707:C726,'🧂 INGREDIENTES'!$B$6:$C$500,2,0),0)*'⚙️ DETALLE TÉCNICO'!D707:D726),0)),0))</f>
        <v/>
      </c>
      <c r="F32" s="108" t="str">
        <f>IF('⚙️ DETALLE TÉCNICO'!M707="","",IFERROR(SUMPRODUCT(IFERROR('⚙️ DETALLE TÉCNICO'!G707:G711*'⚙️ DETALLE TÉCNICO'!H707:H711,0)),0))</f>
        <v/>
      </c>
      <c r="G32" s="108" t="str">
        <f>IF('⚙️ DETALLE TÉCNICO'!M707="","",IFERROR(SUM('⚙️ DETALLE TÉCNICO'!J707:J714),0))</f>
        <v/>
      </c>
      <c r="H32" s="109" t="str">
        <f>IF('⚙️ DETALLE TÉCNICO'!M707="","",E32+F32+G32)</f>
        <v/>
      </c>
      <c r="I32" s="110" t="str">
        <f>IF('⚙️ DETALLE TÉCNICO'!M707="","",'⚙️ DETALLE TÉCNICO'!K707)</f>
        <v/>
      </c>
      <c r="J32" s="111" t="str">
        <f>IF('⚙️ DETALLE TÉCNICO'!M707="","",H32*(1+I32))</f>
        <v/>
      </c>
      <c r="K32" s="10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98">
        <f t="shared" si="1"/>
        <v>28</v>
      </c>
      <c r="B33" s="105" t="str">
        <f>IF('⚙️ DETALLE TÉCNICO'!M727="","",'⚙️ DETALLE TÉCNICO'!M727)</f>
        <v/>
      </c>
      <c r="C33" s="107" t="str">
        <f>IF('⚙️ DETALLE TÉCNICO'!M727="","",'⚙️ DETALLE TÉCNICO'!N727)</f>
        <v/>
      </c>
      <c r="D33" s="100" t="str">
        <f>IF('⚙️ DETALLE TÉCNICO'!M727="","",'⚙️ DETALLE TÉCNICO'!L727)</f>
        <v/>
      </c>
      <c r="E33" s="108" t="str">
        <f>IF('⚙️ DETALLE TÉCNICO'!M727="","",IFERROR(SUMPRODUCT(IFERROR(IF(('⚙️ DETALLE TÉCNICO'!E727:E746="KG")+('⚙️ DETALLE TÉCNICO'!E727:E746="LITRO")+('⚙️ DETALLE TÉCNICO'!E727:E746="GR")+('⚙️ DETALLE TÉCNICO'!E727:E746="ML"),IFERROR(VLOOKUP('⚙️ DETALLE TÉCNICO'!C727:C746,'🧂 INGREDIENTES'!$B$6:$C$500,2,0),0)*'⚙️ DETALLE TÉCNICO'!D727:D746/1000,IFERROR(VLOOKUP('⚙️ DETALLE TÉCNICO'!C727:C746,'🧂 INGREDIENTES'!$B$6:$C$500,2,0),0)*'⚙️ DETALLE TÉCNICO'!D727:D746),0)),0))</f>
        <v/>
      </c>
      <c r="F33" s="108" t="str">
        <f>IF('⚙️ DETALLE TÉCNICO'!M727="","",IFERROR(SUMPRODUCT(IFERROR('⚙️ DETALLE TÉCNICO'!G727:G731*'⚙️ DETALLE TÉCNICO'!H727:H731,0)),0))</f>
        <v/>
      </c>
      <c r="G33" s="108" t="str">
        <f>IF('⚙️ DETALLE TÉCNICO'!M727="","",IFERROR(SUM('⚙️ DETALLE TÉCNICO'!J727:J734),0))</f>
        <v/>
      </c>
      <c r="H33" s="109" t="str">
        <f>IF('⚙️ DETALLE TÉCNICO'!M727="","",E33+F33+G33)</f>
        <v/>
      </c>
      <c r="I33" s="110" t="str">
        <f>IF('⚙️ DETALLE TÉCNICO'!M727="","",'⚙️ DETALLE TÉCNICO'!K727)</f>
        <v/>
      </c>
      <c r="J33" s="111" t="str">
        <f>IF('⚙️ DETALLE TÉCNICO'!M727="","",H33*(1+I33))</f>
        <v/>
      </c>
      <c r="K33" s="10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98">
        <f t="shared" si="1"/>
        <v>29</v>
      </c>
      <c r="B34" s="105" t="str">
        <f>IF('⚙️ DETALLE TÉCNICO'!M747="","",'⚙️ DETALLE TÉCNICO'!M747)</f>
        <v/>
      </c>
      <c r="C34" s="107" t="str">
        <f>IF('⚙️ DETALLE TÉCNICO'!M747="","",'⚙️ DETALLE TÉCNICO'!N747)</f>
        <v/>
      </c>
      <c r="D34" s="100" t="str">
        <f>IF('⚙️ DETALLE TÉCNICO'!M747="","",'⚙️ DETALLE TÉCNICO'!L747)</f>
        <v/>
      </c>
      <c r="E34" s="108" t="str">
        <f>IF('⚙️ DETALLE TÉCNICO'!M747="","",IFERROR(SUMPRODUCT(IFERROR(IF(('⚙️ DETALLE TÉCNICO'!E747:E766="KG")+('⚙️ DETALLE TÉCNICO'!E747:E766="LITRO")+('⚙️ DETALLE TÉCNICO'!E747:E766="GR")+('⚙️ DETALLE TÉCNICO'!E747:E766="ML"),IFERROR(VLOOKUP('⚙️ DETALLE TÉCNICO'!C747:C766,'🧂 INGREDIENTES'!$B$6:$C$500,2,0),0)*'⚙️ DETALLE TÉCNICO'!D747:D766/1000,IFERROR(VLOOKUP('⚙️ DETALLE TÉCNICO'!C747:C766,'🧂 INGREDIENTES'!$B$6:$C$500,2,0),0)*'⚙️ DETALLE TÉCNICO'!D747:D766),0)),0))</f>
        <v/>
      </c>
      <c r="F34" s="108" t="str">
        <f>IF('⚙️ DETALLE TÉCNICO'!M747="","",IFERROR(SUMPRODUCT(IFERROR('⚙️ DETALLE TÉCNICO'!G747:G751*'⚙️ DETALLE TÉCNICO'!H747:H751,0)),0))</f>
        <v/>
      </c>
      <c r="G34" s="108" t="str">
        <f>IF('⚙️ DETALLE TÉCNICO'!M747="","",IFERROR(SUM('⚙️ DETALLE TÉCNICO'!J747:J754),0))</f>
        <v/>
      </c>
      <c r="H34" s="109" t="str">
        <f>IF('⚙️ DETALLE TÉCNICO'!M747="","",E34+F34+G34)</f>
        <v/>
      </c>
      <c r="I34" s="110" t="str">
        <f>IF('⚙️ DETALLE TÉCNICO'!M747="","",'⚙️ DETALLE TÉCNICO'!K747)</f>
        <v/>
      </c>
      <c r="J34" s="111" t="str">
        <f>IF('⚙️ DETALLE TÉCNICO'!M747="","",H34*(1+I34))</f>
        <v/>
      </c>
      <c r="K34" s="10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98">
        <f t="shared" si="1"/>
        <v>30</v>
      </c>
      <c r="B35" s="105" t="str">
        <f>IF('⚙️ DETALLE TÉCNICO'!M767="","",'⚙️ DETALLE TÉCNICO'!M767)</f>
        <v/>
      </c>
      <c r="C35" s="107" t="str">
        <f>IF('⚙️ DETALLE TÉCNICO'!M767="","",'⚙️ DETALLE TÉCNICO'!N767)</f>
        <v/>
      </c>
      <c r="D35" s="100" t="str">
        <f>IF('⚙️ DETALLE TÉCNICO'!M767="","",'⚙️ DETALLE TÉCNICO'!L767)</f>
        <v/>
      </c>
      <c r="E35" s="108" t="str">
        <f>IF('⚙️ DETALLE TÉCNICO'!M767="","",IFERROR(SUMPRODUCT(IFERROR(IF(('⚙️ DETALLE TÉCNICO'!E767:E786="KG")+('⚙️ DETALLE TÉCNICO'!E767:E786="LITRO")+('⚙️ DETALLE TÉCNICO'!E767:E786="GR")+('⚙️ DETALLE TÉCNICO'!E767:E786="ML"),IFERROR(VLOOKUP('⚙️ DETALLE TÉCNICO'!C767:C786,'🧂 INGREDIENTES'!$B$6:$C$500,2,0),0)*'⚙️ DETALLE TÉCNICO'!D767:D786/1000,IFERROR(VLOOKUP('⚙️ DETALLE TÉCNICO'!C767:C786,'🧂 INGREDIENTES'!$B$6:$C$500,2,0),0)*'⚙️ DETALLE TÉCNICO'!D767:D786),0)),0))</f>
        <v/>
      </c>
      <c r="F35" s="108" t="str">
        <f>IF('⚙️ DETALLE TÉCNICO'!M767="","",IFERROR(SUMPRODUCT(IFERROR('⚙️ DETALLE TÉCNICO'!G767:G771*'⚙️ DETALLE TÉCNICO'!H767:H771,0)),0))</f>
        <v/>
      </c>
      <c r="G35" s="108" t="str">
        <f>IF('⚙️ DETALLE TÉCNICO'!M767="","",IFERROR(SUM('⚙️ DETALLE TÉCNICO'!J767:J774),0))</f>
        <v/>
      </c>
      <c r="H35" s="109" t="str">
        <f>IF('⚙️ DETALLE TÉCNICO'!M767="","",E35+F35+G35)</f>
        <v/>
      </c>
      <c r="I35" s="110" t="str">
        <f>IF('⚙️ DETALLE TÉCNICO'!M767="","",'⚙️ DETALLE TÉCNICO'!K767)</f>
        <v/>
      </c>
      <c r="J35" s="111" t="str">
        <f>IF('⚙️ DETALLE TÉCNICO'!M767="","",H35*(1+I35))</f>
        <v/>
      </c>
      <c r="K35" s="10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98">
        <f t="shared" si="1"/>
        <v>31</v>
      </c>
      <c r="B36" s="105" t="str">
        <f>IF('⚙️ DETALLE TÉCNICO'!M787="","",'⚙️ DETALLE TÉCNICO'!M787)</f>
        <v/>
      </c>
      <c r="C36" s="107" t="str">
        <f>IF('⚙️ DETALLE TÉCNICO'!M787="","",'⚙️ DETALLE TÉCNICO'!N787)</f>
        <v/>
      </c>
      <c r="D36" s="100" t="str">
        <f>IF('⚙️ DETALLE TÉCNICO'!M787="","",'⚙️ DETALLE TÉCNICO'!L787)</f>
        <v/>
      </c>
      <c r="E36" s="108" t="str">
        <f>IF('⚙️ DETALLE TÉCNICO'!M787="","",IFERROR(SUMPRODUCT(IFERROR(IF(('⚙️ DETALLE TÉCNICO'!E787:E806="KG")+('⚙️ DETALLE TÉCNICO'!E787:E806="LITRO")+('⚙️ DETALLE TÉCNICO'!E787:E806="GR")+('⚙️ DETALLE TÉCNICO'!E787:E806="ML"),IFERROR(VLOOKUP('⚙️ DETALLE TÉCNICO'!C787:C806,'🧂 INGREDIENTES'!$B$6:$C$500,2,0),0)*'⚙️ DETALLE TÉCNICO'!D787:D806/1000,IFERROR(VLOOKUP('⚙️ DETALLE TÉCNICO'!C787:C806,'🧂 INGREDIENTES'!$B$6:$C$500,2,0),0)*'⚙️ DETALLE TÉCNICO'!D787:D806),0)),0))</f>
        <v/>
      </c>
      <c r="F36" s="108" t="str">
        <f>IF('⚙️ DETALLE TÉCNICO'!M787="","",IFERROR(SUMPRODUCT(IFERROR('⚙️ DETALLE TÉCNICO'!G787:G791*'⚙️ DETALLE TÉCNICO'!H787:H791,0)),0))</f>
        <v/>
      </c>
      <c r="G36" s="108" t="str">
        <f>IF('⚙️ DETALLE TÉCNICO'!M787="","",IFERROR(SUM('⚙️ DETALLE TÉCNICO'!J787:J794),0))</f>
        <v/>
      </c>
      <c r="H36" s="109" t="str">
        <f>IF('⚙️ DETALLE TÉCNICO'!M787="","",E36+F36+G36)</f>
        <v/>
      </c>
      <c r="I36" s="110" t="str">
        <f>IF('⚙️ DETALLE TÉCNICO'!M787="","",'⚙️ DETALLE TÉCNICO'!K787)</f>
        <v/>
      </c>
      <c r="J36" s="111" t="str">
        <f>IF('⚙️ DETALLE TÉCNICO'!M787="","",H36*(1+I36))</f>
        <v/>
      </c>
      <c r="K36" s="10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98">
        <f t="shared" si="1"/>
        <v>32</v>
      </c>
      <c r="B37" s="105" t="str">
        <f>IF('⚙️ DETALLE TÉCNICO'!M807="","",'⚙️ DETALLE TÉCNICO'!M807)</f>
        <v/>
      </c>
      <c r="C37" s="107" t="str">
        <f>IF('⚙️ DETALLE TÉCNICO'!M807="","",'⚙️ DETALLE TÉCNICO'!N807)</f>
        <v/>
      </c>
      <c r="D37" s="100" t="str">
        <f>IF('⚙️ DETALLE TÉCNICO'!M807="","",'⚙️ DETALLE TÉCNICO'!L807)</f>
        <v/>
      </c>
      <c r="E37" s="108" t="str">
        <f>IF('⚙️ DETALLE TÉCNICO'!M807="","",IFERROR(SUMPRODUCT(IFERROR(IF(('⚙️ DETALLE TÉCNICO'!E807:E826="KG")+('⚙️ DETALLE TÉCNICO'!E807:E826="LITRO")+('⚙️ DETALLE TÉCNICO'!E807:E826="GR")+('⚙️ DETALLE TÉCNICO'!E807:E826="ML"),IFERROR(VLOOKUP('⚙️ DETALLE TÉCNICO'!C807:C826,'🧂 INGREDIENTES'!$B$6:$C$500,2,0),0)*'⚙️ DETALLE TÉCNICO'!D807:D826/1000,IFERROR(VLOOKUP('⚙️ DETALLE TÉCNICO'!C807:C826,'🧂 INGREDIENTES'!$B$6:$C$500,2,0),0)*'⚙️ DETALLE TÉCNICO'!D807:D826),0)),0))</f>
        <v/>
      </c>
      <c r="F37" s="108" t="str">
        <f>IF('⚙️ DETALLE TÉCNICO'!M807="","",IFERROR(SUMPRODUCT(IFERROR('⚙️ DETALLE TÉCNICO'!G807:G811*'⚙️ DETALLE TÉCNICO'!H807:H811,0)),0))</f>
        <v/>
      </c>
      <c r="G37" s="108" t="str">
        <f>IF('⚙️ DETALLE TÉCNICO'!M807="","",IFERROR(SUM('⚙️ DETALLE TÉCNICO'!J807:J814),0))</f>
        <v/>
      </c>
      <c r="H37" s="109" t="str">
        <f>IF('⚙️ DETALLE TÉCNICO'!M807="","",E37+F37+G37)</f>
        <v/>
      </c>
      <c r="I37" s="110" t="str">
        <f>IF('⚙️ DETALLE TÉCNICO'!M807="","",'⚙️ DETALLE TÉCNICO'!K807)</f>
        <v/>
      </c>
      <c r="J37" s="111" t="str">
        <f>IF('⚙️ DETALLE TÉCNICO'!M807="","",H37*(1+I37))</f>
        <v/>
      </c>
      <c r="K37" s="10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98">
        <f t="shared" si="1"/>
        <v>33</v>
      </c>
      <c r="B38" s="105" t="str">
        <f>IF('⚙️ DETALLE TÉCNICO'!M827="","",'⚙️ DETALLE TÉCNICO'!M827)</f>
        <v/>
      </c>
      <c r="C38" s="107" t="str">
        <f>IF('⚙️ DETALLE TÉCNICO'!M827="","",'⚙️ DETALLE TÉCNICO'!N827)</f>
        <v/>
      </c>
      <c r="D38" s="100" t="str">
        <f>IF('⚙️ DETALLE TÉCNICO'!M827="","",'⚙️ DETALLE TÉCNICO'!L827)</f>
        <v/>
      </c>
      <c r="E38" s="108" t="str">
        <f>IF('⚙️ DETALLE TÉCNICO'!M827="","",IFERROR(SUMPRODUCT(IFERROR(IF(('⚙️ DETALLE TÉCNICO'!E827:E846="KG")+('⚙️ DETALLE TÉCNICO'!E827:E846="LITRO")+('⚙️ DETALLE TÉCNICO'!E827:E846="GR")+('⚙️ DETALLE TÉCNICO'!E827:E846="ML"),IFERROR(VLOOKUP('⚙️ DETALLE TÉCNICO'!C827:C846,'🧂 INGREDIENTES'!$B$6:$C$500,2,0),0)*'⚙️ DETALLE TÉCNICO'!D827:D846/1000,IFERROR(VLOOKUP('⚙️ DETALLE TÉCNICO'!C827:C846,'🧂 INGREDIENTES'!$B$6:$C$500,2,0),0)*'⚙️ DETALLE TÉCNICO'!D827:D846),0)),0))</f>
        <v/>
      </c>
      <c r="F38" s="108" t="str">
        <f>IF('⚙️ DETALLE TÉCNICO'!M827="","",IFERROR(SUMPRODUCT(IFERROR('⚙️ DETALLE TÉCNICO'!G827:G831*'⚙️ DETALLE TÉCNICO'!H827:H831,0)),0))</f>
        <v/>
      </c>
      <c r="G38" s="108" t="str">
        <f>IF('⚙️ DETALLE TÉCNICO'!M827="","",IFERROR(SUM('⚙️ DETALLE TÉCNICO'!J827:J834),0))</f>
        <v/>
      </c>
      <c r="H38" s="109" t="str">
        <f>IF('⚙️ DETALLE TÉCNICO'!M827="","",E38+F38+G38)</f>
        <v/>
      </c>
      <c r="I38" s="110" t="str">
        <f>IF('⚙️ DETALLE TÉCNICO'!M827="","",'⚙️ DETALLE TÉCNICO'!K827)</f>
        <v/>
      </c>
      <c r="J38" s="111" t="str">
        <f>IF('⚙️ DETALLE TÉCNICO'!M827="","",H38*(1+I38))</f>
        <v/>
      </c>
      <c r="K38" s="10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98">
        <f t="shared" si="1"/>
        <v>34</v>
      </c>
      <c r="B39" s="105" t="str">
        <f>IF('⚙️ DETALLE TÉCNICO'!M847="","",'⚙️ DETALLE TÉCNICO'!M847)</f>
        <v/>
      </c>
      <c r="C39" s="107" t="str">
        <f>IF('⚙️ DETALLE TÉCNICO'!M847="","",'⚙️ DETALLE TÉCNICO'!N847)</f>
        <v/>
      </c>
      <c r="D39" s="100" t="str">
        <f>IF('⚙️ DETALLE TÉCNICO'!M847="","",'⚙️ DETALLE TÉCNICO'!L847)</f>
        <v/>
      </c>
      <c r="E39" s="108" t="str">
        <f>IF('⚙️ DETALLE TÉCNICO'!M847="","",IFERROR(SUMPRODUCT(IFERROR(IF(('⚙️ DETALLE TÉCNICO'!E847:E866="KG")+('⚙️ DETALLE TÉCNICO'!E847:E866="LITRO")+('⚙️ DETALLE TÉCNICO'!E847:E866="GR")+('⚙️ DETALLE TÉCNICO'!E847:E866="ML"),IFERROR(VLOOKUP('⚙️ DETALLE TÉCNICO'!C847:C866,'🧂 INGREDIENTES'!$B$6:$C$500,2,0),0)*'⚙️ DETALLE TÉCNICO'!D847:D866/1000,IFERROR(VLOOKUP('⚙️ DETALLE TÉCNICO'!C847:C866,'🧂 INGREDIENTES'!$B$6:$C$500,2,0),0)*'⚙️ DETALLE TÉCNICO'!D847:D866),0)),0))</f>
        <v/>
      </c>
      <c r="F39" s="108" t="str">
        <f>IF('⚙️ DETALLE TÉCNICO'!M847="","",IFERROR(SUMPRODUCT(IFERROR('⚙️ DETALLE TÉCNICO'!G847:G851*'⚙️ DETALLE TÉCNICO'!H847:H851,0)),0))</f>
        <v/>
      </c>
      <c r="G39" s="108" t="str">
        <f>IF('⚙️ DETALLE TÉCNICO'!M847="","",IFERROR(SUM('⚙️ DETALLE TÉCNICO'!J847:J854),0))</f>
        <v/>
      </c>
      <c r="H39" s="109" t="str">
        <f>IF('⚙️ DETALLE TÉCNICO'!M847="","",E39+F39+G39)</f>
        <v/>
      </c>
      <c r="I39" s="110" t="str">
        <f>IF('⚙️ DETALLE TÉCNICO'!M847="","",'⚙️ DETALLE TÉCNICO'!K847)</f>
        <v/>
      </c>
      <c r="J39" s="111" t="str">
        <f>IF('⚙️ DETALLE TÉCNICO'!M847="","",H39*(1+I39))</f>
        <v/>
      </c>
      <c r="K39" s="10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98">
        <f t="shared" si="1"/>
        <v>35</v>
      </c>
      <c r="B40" s="105" t="str">
        <f>IF('⚙️ DETALLE TÉCNICO'!M867="","",'⚙️ DETALLE TÉCNICO'!M867)</f>
        <v/>
      </c>
      <c r="C40" s="107" t="str">
        <f>IF('⚙️ DETALLE TÉCNICO'!M867="","",'⚙️ DETALLE TÉCNICO'!N867)</f>
        <v/>
      </c>
      <c r="D40" s="100" t="str">
        <f>IF('⚙️ DETALLE TÉCNICO'!M867="","",'⚙️ DETALLE TÉCNICO'!L867)</f>
        <v/>
      </c>
      <c r="E40" s="108" t="str">
        <f>IF('⚙️ DETALLE TÉCNICO'!M867="","",IFERROR(SUMPRODUCT(IFERROR(IF(('⚙️ DETALLE TÉCNICO'!E867:E886="KG")+('⚙️ DETALLE TÉCNICO'!E867:E886="LITRO")+('⚙️ DETALLE TÉCNICO'!E867:E886="GR")+('⚙️ DETALLE TÉCNICO'!E867:E886="ML"),IFERROR(VLOOKUP('⚙️ DETALLE TÉCNICO'!C867:C886,'🧂 INGREDIENTES'!$B$6:$C$500,2,0),0)*'⚙️ DETALLE TÉCNICO'!D867:D886/1000,IFERROR(VLOOKUP('⚙️ DETALLE TÉCNICO'!C867:C886,'🧂 INGREDIENTES'!$B$6:$C$500,2,0),0)*'⚙️ DETALLE TÉCNICO'!D867:D886),0)),0))</f>
        <v/>
      </c>
      <c r="F40" s="108" t="str">
        <f>IF('⚙️ DETALLE TÉCNICO'!M867="","",IFERROR(SUMPRODUCT(IFERROR('⚙️ DETALLE TÉCNICO'!G867:G871*'⚙️ DETALLE TÉCNICO'!H867:H871,0)),0))</f>
        <v/>
      </c>
      <c r="G40" s="108" t="str">
        <f>IF('⚙️ DETALLE TÉCNICO'!M867="","",IFERROR(SUM('⚙️ DETALLE TÉCNICO'!J867:J874),0))</f>
        <v/>
      </c>
      <c r="H40" s="109" t="str">
        <f>IF('⚙️ DETALLE TÉCNICO'!M867="","",E40+F40+G40)</f>
        <v/>
      </c>
      <c r="I40" s="110" t="str">
        <f>IF('⚙️ DETALLE TÉCNICO'!M867="","",'⚙️ DETALLE TÉCNICO'!K867)</f>
        <v/>
      </c>
      <c r="J40" s="111" t="str">
        <f>IF('⚙️ DETALLE TÉCNICO'!M867="","",H40*(1+I40))</f>
        <v/>
      </c>
      <c r="K40" s="10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98">
        <f t="shared" si="1"/>
        <v>36</v>
      </c>
      <c r="B41" s="105" t="str">
        <f>IF('⚙️ DETALLE TÉCNICO'!M887="","",'⚙️ DETALLE TÉCNICO'!M887)</f>
        <v/>
      </c>
      <c r="C41" s="107" t="str">
        <f>IF('⚙️ DETALLE TÉCNICO'!M887="","",'⚙️ DETALLE TÉCNICO'!N887)</f>
        <v/>
      </c>
      <c r="D41" s="100" t="str">
        <f>IF('⚙️ DETALLE TÉCNICO'!M887="","",'⚙️ DETALLE TÉCNICO'!L887)</f>
        <v/>
      </c>
      <c r="E41" s="108" t="str">
        <f>IF('⚙️ DETALLE TÉCNICO'!M887="","",IFERROR(SUMPRODUCT(IFERROR(IF(('⚙️ DETALLE TÉCNICO'!E887:E906="KG")+('⚙️ DETALLE TÉCNICO'!E887:E906="LITRO")+('⚙️ DETALLE TÉCNICO'!E887:E906="GR")+('⚙️ DETALLE TÉCNICO'!E887:E906="ML"),IFERROR(VLOOKUP('⚙️ DETALLE TÉCNICO'!C887:C906,'🧂 INGREDIENTES'!$B$6:$C$500,2,0),0)*'⚙️ DETALLE TÉCNICO'!D887:D906/1000,IFERROR(VLOOKUP('⚙️ DETALLE TÉCNICO'!C887:C906,'🧂 INGREDIENTES'!$B$6:$C$500,2,0),0)*'⚙️ DETALLE TÉCNICO'!D887:D906),0)),0))</f>
        <v/>
      </c>
      <c r="F41" s="108" t="str">
        <f>IF('⚙️ DETALLE TÉCNICO'!M887="","",IFERROR(SUMPRODUCT(IFERROR('⚙️ DETALLE TÉCNICO'!G887:G891*'⚙️ DETALLE TÉCNICO'!H887:H891,0)),0))</f>
        <v/>
      </c>
      <c r="G41" s="108" t="str">
        <f>IF('⚙️ DETALLE TÉCNICO'!M887="","",IFERROR(SUM('⚙️ DETALLE TÉCNICO'!J887:J894),0))</f>
        <v/>
      </c>
      <c r="H41" s="109" t="str">
        <f>IF('⚙️ DETALLE TÉCNICO'!M887="","",E41+F41+G41)</f>
        <v/>
      </c>
      <c r="I41" s="110" t="str">
        <f>IF('⚙️ DETALLE TÉCNICO'!M887="","",'⚙️ DETALLE TÉCNICO'!K887)</f>
        <v/>
      </c>
      <c r="J41" s="111" t="str">
        <f>IF('⚙️ DETALLE TÉCNICO'!M887="","",H41*(1+I41))</f>
        <v/>
      </c>
      <c r="K41" s="10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98">
        <f t="shared" si="1"/>
        <v>37</v>
      </c>
      <c r="B42" s="105" t="str">
        <f>IF('⚙️ DETALLE TÉCNICO'!M907="","",'⚙️ DETALLE TÉCNICO'!M907)</f>
        <v/>
      </c>
      <c r="C42" s="107" t="str">
        <f>IF('⚙️ DETALLE TÉCNICO'!M907="","",'⚙️ DETALLE TÉCNICO'!N907)</f>
        <v/>
      </c>
      <c r="D42" s="100" t="str">
        <f>IF('⚙️ DETALLE TÉCNICO'!M907="","",'⚙️ DETALLE TÉCNICO'!L907)</f>
        <v/>
      </c>
      <c r="E42" s="108" t="str">
        <f>IF('⚙️ DETALLE TÉCNICO'!M907="","",IFERROR(SUMPRODUCT(IFERROR(IF(('⚙️ DETALLE TÉCNICO'!E907:E926="KG")+('⚙️ DETALLE TÉCNICO'!E907:E926="LITRO")+('⚙️ DETALLE TÉCNICO'!E907:E926="GR")+('⚙️ DETALLE TÉCNICO'!E907:E926="ML"),IFERROR(VLOOKUP('⚙️ DETALLE TÉCNICO'!C907:C926,'🧂 INGREDIENTES'!$B$6:$C$500,2,0),0)*'⚙️ DETALLE TÉCNICO'!D907:D926/1000,IFERROR(VLOOKUP('⚙️ DETALLE TÉCNICO'!C907:C926,'🧂 INGREDIENTES'!$B$6:$C$500,2,0),0)*'⚙️ DETALLE TÉCNICO'!D907:D926),0)),0))</f>
        <v/>
      </c>
      <c r="F42" s="108" t="str">
        <f>IF('⚙️ DETALLE TÉCNICO'!M907="","",IFERROR(SUMPRODUCT(IFERROR('⚙️ DETALLE TÉCNICO'!G907:G911*'⚙️ DETALLE TÉCNICO'!H907:H911,0)),0))</f>
        <v/>
      </c>
      <c r="G42" s="108" t="str">
        <f>IF('⚙️ DETALLE TÉCNICO'!M907="","",IFERROR(SUM('⚙️ DETALLE TÉCNICO'!J907:J914),0))</f>
        <v/>
      </c>
      <c r="H42" s="109" t="str">
        <f>IF('⚙️ DETALLE TÉCNICO'!M907="","",E42+F42+G42)</f>
        <v/>
      </c>
      <c r="I42" s="110" t="str">
        <f>IF('⚙️ DETALLE TÉCNICO'!M907="","",'⚙️ DETALLE TÉCNICO'!K907)</f>
        <v/>
      </c>
      <c r="J42" s="111" t="str">
        <f>IF('⚙️ DETALLE TÉCNICO'!M907="","",H42*(1+I42))</f>
        <v/>
      </c>
      <c r="K42" s="10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98">
        <f t="shared" si="1"/>
        <v>38</v>
      </c>
      <c r="B43" s="105" t="str">
        <f>IF('⚙️ DETALLE TÉCNICO'!M927="","",'⚙️ DETALLE TÉCNICO'!M927)</f>
        <v/>
      </c>
      <c r="C43" s="107" t="str">
        <f>IF('⚙️ DETALLE TÉCNICO'!M927="","",'⚙️ DETALLE TÉCNICO'!N927)</f>
        <v/>
      </c>
      <c r="D43" s="100" t="str">
        <f>IF('⚙️ DETALLE TÉCNICO'!M927="","",'⚙️ DETALLE TÉCNICO'!L927)</f>
        <v/>
      </c>
      <c r="E43" s="108" t="str">
        <f>IF('⚙️ DETALLE TÉCNICO'!M927="","",IFERROR(SUMPRODUCT(IFERROR(IF(('⚙️ DETALLE TÉCNICO'!E927:E946="KG")+('⚙️ DETALLE TÉCNICO'!E927:E946="LITRO")+('⚙️ DETALLE TÉCNICO'!E927:E946="GR")+('⚙️ DETALLE TÉCNICO'!E927:E946="ML"),IFERROR(VLOOKUP('⚙️ DETALLE TÉCNICO'!C927:C946,'🧂 INGREDIENTES'!$B$6:$C$500,2,0),0)*'⚙️ DETALLE TÉCNICO'!D927:D946/1000,IFERROR(VLOOKUP('⚙️ DETALLE TÉCNICO'!C927:C946,'🧂 INGREDIENTES'!$B$6:$C$500,2,0),0)*'⚙️ DETALLE TÉCNICO'!D927:D946),0)),0))</f>
        <v/>
      </c>
      <c r="F43" s="108" t="str">
        <f>IF('⚙️ DETALLE TÉCNICO'!M927="","",IFERROR(SUMPRODUCT(IFERROR('⚙️ DETALLE TÉCNICO'!G927:G931*'⚙️ DETALLE TÉCNICO'!H927:H931,0)),0))</f>
        <v/>
      </c>
      <c r="G43" s="108" t="str">
        <f>IF('⚙️ DETALLE TÉCNICO'!M927="","",IFERROR(SUM('⚙️ DETALLE TÉCNICO'!J927:J934),0))</f>
        <v/>
      </c>
      <c r="H43" s="109" t="str">
        <f>IF('⚙️ DETALLE TÉCNICO'!M927="","",E43+F43+G43)</f>
        <v/>
      </c>
      <c r="I43" s="110" t="str">
        <f>IF('⚙️ DETALLE TÉCNICO'!M927="","",'⚙️ DETALLE TÉCNICO'!K927)</f>
        <v/>
      </c>
      <c r="J43" s="111" t="str">
        <f>IF('⚙️ DETALLE TÉCNICO'!M927="","",H43*(1+I43))</f>
        <v/>
      </c>
      <c r="K43" s="10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98">
        <f t="shared" si="1"/>
        <v>39</v>
      </c>
      <c r="B44" s="105" t="str">
        <f>IF('⚙️ DETALLE TÉCNICO'!M947="","",'⚙️ DETALLE TÉCNICO'!M947)</f>
        <v/>
      </c>
      <c r="C44" s="107" t="str">
        <f>IF('⚙️ DETALLE TÉCNICO'!M947="","",'⚙️ DETALLE TÉCNICO'!N947)</f>
        <v/>
      </c>
      <c r="D44" s="100" t="str">
        <f>IF('⚙️ DETALLE TÉCNICO'!M947="","",'⚙️ DETALLE TÉCNICO'!L947)</f>
        <v/>
      </c>
      <c r="E44" s="108" t="str">
        <f>IF('⚙️ DETALLE TÉCNICO'!M947="","",IFERROR(SUMPRODUCT(IFERROR(IF(('⚙️ DETALLE TÉCNICO'!E947:E966="KG")+('⚙️ DETALLE TÉCNICO'!E947:E966="LITRO")+('⚙️ DETALLE TÉCNICO'!E947:E966="GR")+('⚙️ DETALLE TÉCNICO'!E947:E966="ML"),IFERROR(VLOOKUP('⚙️ DETALLE TÉCNICO'!C947:C966,'🧂 INGREDIENTES'!$B$6:$C$500,2,0),0)*'⚙️ DETALLE TÉCNICO'!D947:D966/1000,IFERROR(VLOOKUP('⚙️ DETALLE TÉCNICO'!C947:C966,'🧂 INGREDIENTES'!$B$6:$C$500,2,0),0)*'⚙️ DETALLE TÉCNICO'!D947:D966),0)),0))</f>
        <v/>
      </c>
      <c r="F44" s="108" t="str">
        <f>IF('⚙️ DETALLE TÉCNICO'!M947="","",IFERROR(SUMPRODUCT(IFERROR('⚙️ DETALLE TÉCNICO'!G947:G951*'⚙️ DETALLE TÉCNICO'!H947:H951,0)),0))</f>
        <v/>
      </c>
      <c r="G44" s="108" t="str">
        <f>IF('⚙️ DETALLE TÉCNICO'!M947="","",IFERROR(SUM('⚙️ DETALLE TÉCNICO'!J947:J954),0))</f>
        <v/>
      </c>
      <c r="H44" s="109" t="str">
        <f>IF('⚙️ DETALLE TÉCNICO'!M947="","",E44+F44+G44)</f>
        <v/>
      </c>
      <c r="I44" s="110" t="str">
        <f>IF('⚙️ DETALLE TÉCNICO'!M947="","",'⚙️ DETALLE TÉCNICO'!K947)</f>
        <v/>
      </c>
      <c r="J44" s="111" t="str">
        <f>IF('⚙️ DETALLE TÉCNICO'!M947="","",H44*(1+I44))</f>
        <v/>
      </c>
      <c r="K44" s="10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98">
        <f t="shared" si="1"/>
        <v>40</v>
      </c>
      <c r="B45" s="105" t="str">
        <f>IF('⚙️ DETALLE TÉCNICO'!M967="","",'⚙️ DETALLE TÉCNICO'!M967)</f>
        <v/>
      </c>
      <c r="C45" s="107" t="str">
        <f>IF('⚙️ DETALLE TÉCNICO'!M967="","",'⚙️ DETALLE TÉCNICO'!N967)</f>
        <v/>
      </c>
      <c r="D45" s="100" t="str">
        <f>IF('⚙️ DETALLE TÉCNICO'!M967="","",'⚙️ DETALLE TÉCNICO'!L967)</f>
        <v/>
      </c>
      <c r="E45" s="108" t="str">
        <f>IF('⚙️ DETALLE TÉCNICO'!M967="","",IFERROR(SUMPRODUCT(IFERROR(IF(('⚙️ DETALLE TÉCNICO'!E967:E986="KG")+('⚙️ DETALLE TÉCNICO'!E967:E986="LITRO")+('⚙️ DETALLE TÉCNICO'!E967:E986="GR")+('⚙️ DETALLE TÉCNICO'!E967:E986="ML"),IFERROR(VLOOKUP('⚙️ DETALLE TÉCNICO'!C967:C986,'🧂 INGREDIENTES'!$B$6:$C$500,2,0),0)*'⚙️ DETALLE TÉCNICO'!D967:D986/1000,IFERROR(VLOOKUP('⚙️ DETALLE TÉCNICO'!C967:C986,'🧂 INGREDIENTES'!$B$6:$C$500,2,0),0)*'⚙️ DETALLE TÉCNICO'!D967:D986),0)),0))</f>
        <v/>
      </c>
      <c r="F45" s="108" t="str">
        <f>IF('⚙️ DETALLE TÉCNICO'!M967="","",IFERROR(SUMPRODUCT(IFERROR('⚙️ DETALLE TÉCNICO'!G967:G971*'⚙️ DETALLE TÉCNICO'!H967:H971,0)),0))</f>
        <v/>
      </c>
      <c r="G45" s="108" t="str">
        <f>IF('⚙️ DETALLE TÉCNICO'!M967="","",IFERROR(SUM('⚙️ DETALLE TÉCNICO'!J967:J974),0))</f>
        <v/>
      </c>
      <c r="H45" s="109" t="str">
        <f>IF('⚙️ DETALLE TÉCNICO'!M967="","",E45+F45+G45)</f>
        <v/>
      </c>
      <c r="I45" s="110" t="str">
        <f>IF('⚙️ DETALLE TÉCNICO'!M967="","",'⚙️ DETALLE TÉCNICO'!K967)</f>
        <v/>
      </c>
      <c r="J45" s="111" t="str">
        <f>IF('⚙️ DETALLE TÉCNICO'!M967="","",H45*(1+I45))</f>
        <v/>
      </c>
      <c r="K45" s="10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98">
        <f t="shared" si="1"/>
        <v>41</v>
      </c>
      <c r="B46" s="105" t="str">
        <f>IF('⚙️ DETALLE TÉCNICO'!M987="","",'⚙️ DETALLE TÉCNICO'!M987)</f>
        <v/>
      </c>
      <c r="C46" s="107" t="str">
        <f>IF('⚙️ DETALLE TÉCNICO'!M987="","",'⚙️ DETALLE TÉCNICO'!N987)</f>
        <v/>
      </c>
      <c r="D46" s="100" t="str">
        <f>IF('⚙️ DETALLE TÉCNICO'!M987="","",'⚙️ DETALLE TÉCNICO'!L987)</f>
        <v/>
      </c>
      <c r="E46" s="108" t="str">
        <f>IF('⚙️ DETALLE TÉCNICO'!M987="","",IFERROR(SUMPRODUCT(IFERROR(IF(('⚙️ DETALLE TÉCNICO'!E987:E1006="KG")+('⚙️ DETALLE TÉCNICO'!E987:E1006="LITRO")+('⚙️ DETALLE TÉCNICO'!E987:E1006="GR")+('⚙️ DETALLE TÉCNICO'!E987:E1006="ML"),IFERROR(VLOOKUP('⚙️ DETALLE TÉCNICO'!C987:C1006,'🧂 INGREDIENTES'!$B$6:$C$500,2,0),0)*'⚙️ DETALLE TÉCNICO'!D987:D1006/1000,IFERROR(VLOOKUP('⚙️ DETALLE TÉCNICO'!C987:C1006,'🧂 INGREDIENTES'!$B$6:$C$500,2,0),0)*'⚙️ DETALLE TÉCNICO'!D987:D1006),0)),0))</f>
        <v/>
      </c>
      <c r="F46" s="108" t="str">
        <f>IF('⚙️ DETALLE TÉCNICO'!M987="","",IFERROR(SUMPRODUCT(IFERROR('⚙️ DETALLE TÉCNICO'!G987:G991*'⚙️ DETALLE TÉCNICO'!H987:H991,0)),0))</f>
        <v/>
      </c>
      <c r="G46" s="108" t="str">
        <f>IF('⚙️ DETALLE TÉCNICO'!M987="","",IFERROR(SUM('⚙️ DETALLE TÉCNICO'!J987:J994),0))</f>
        <v/>
      </c>
      <c r="H46" s="109" t="str">
        <f>IF('⚙️ DETALLE TÉCNICO'!M987="","",E46+F46+G46)</f>
        <v/>
      </c>
      <c r="I46" s="110" t="str">
        <f>IF('⚙️ DETALLE TÉCNICO'!M987="","",'⚙️ DETALLE TÉCNICO'!K987)</f>
        <v/>
      </c>
      <c r="J46" s="111" t="str">
        <f>IF('⚙️ DETALLE TÉCNICO'!M987="","",H46*(1+I46))</f>
        <v/>
      </c>
      <c r="K46" s="10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98">
        <f t="shared" si="1"/>
        <v>42</v>
      </c>
      <c r="B47" s="105" t="str">
        <f>IF('⚙️ DETALLE TÉCNICO'!M1007="","",'⚙️ DETALLE TÉCNICO'!M1007)</f>
        <v/>
      </c>
      <c r="C47" s="107" t="str">
        <f>IF('⚙️ DETALLE TÉCNICO'!M1007="","",'⚙️ DETALLE TÉCNICO'!N1007)</f>
        <v/>
      </c>
      <c r="D47" s="100" t="str">
        <f>IF('⚙️ DETALLE TÉCNICO'!M1007="","",'⚙️ DETALLE TÉCNICO'!L1007)</f>
        <v/>
      </c>
      <c r="E47" s="108" t="str">
        <f>IF('⚙️ DETALLE TÉCNICO'!M1007="","",IFERROR(SUMPRODUCT(IFERROR(IF(('⚙️ DETALLE TÉCNICO'!E1007:E1026="KG")+('⚙️ DETALLE TÉCNICO'!E1007:E1026="LITRO")+('⚙️ DETALLE TÉCNICO'!E1007:E1026="GR")+('⚙️ DETALLE TÉCNICO'!E1007:E1026="ML"),IFERROR(VLOOKUP('⚙️ DETALLE TÉCNICO'!C1007:C1026,'🧂 INGREDIENTES'!$B$6:$C$500,2,0),0)*'⚙️ DETALLE TÉCNICO'!D1007:D1026/1000,IFERROR(VLOOKUP('⚙️ DETALLE TÉCNICO'!C1007:C1026,'🧂 INGREDIENTES'!$B$6:$C$500,2,0),0)*'⚙️ DETALLE TÉCNICO'!D1007:D1026),0)),0))</f>
        <v/>
      </c>
      <c r="F47" s="108" t="str">
        <f>IF('⚙️ DETALLE TÉCNICO'!M1007="","",IFERROR(SUMPRODUCT(IFERROR('⚙️ DETALLE TÉCNICO'!G1007:G1011*'⚙️ DETALLE TÉCNICO'!H1007:H1011,0)),0))</f>
        <v/>
      </c>
      <c r="G47" s="108" t="str">
        <f>IF('⚙️ DETALLE TÉCNICO'!M1007="","",IFERROR(SUM('⚙️ DETALLE TÉCNICO'!J1007:J1014),0))</f>
        <v/>
      </c>
      <c r="H47" s="109" t="str">
        <f>IF('⚙️ DETALLE TÉCNICO'!M1007="","",E47+F47+G47)</f>
        <v/>
      </c>
      <c r="I47" s="110" t="str">
        <f>IF('⚙️ DETALLE TÉCNICO'!M1007="","",'⚙️ DETALLE TÉCNICO'!K1007)</f>
        <v/>
      </c>
      <c r="J47" s="111" t="str">
        <f>IF('⚙️ DETALLE TÉCNICO'!M1007="","",H47*(1+I47))</f>
        <v/>
      </c>
      <c r="K47" s="10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98">
        <f t="shared" si="1"/>
        <v>43</v>
      </c>
      <c r="B48" s="105" t="str">
        <f>IF('⚙️ DETALLE TÉCNICO'!M1027="","",'⚙️ DETALLE TÉCNICO'!M1027)</f>
        <v/>
      </c>
      <c r="C48" s="107" t="str">
        <f>IF('⚙️ DETALLE TÉCNICO'!M1027="","",'⚙️ DETALLE TÉCNICO'!N1027)</f>
        <v/>
      </c>
      <c r="D48" s="100" t="str">
        <f>IF('⚙️ DETALLE TÉCNICO'!M1027="","",'⚙️ DETALLE TÉCNICO'!L1027)</f>
        <v/>
      </c>
      <c r="E48" s="108" t="str">
        <f>IF('⚙️ DETALLE TÉCNICO'!M1027="","",IFERROR(SUMPRODUCT(IFERROR(IF(('⚙️ DETALLE TÉCNICO'!E1027:E1046="KG")+('⚙️ DETALLE TÉCNICO'!E1027:E1046="LITRO")+('⚙️ DETALLE TÉCNICO'!E1027:E1046="GR")+('⚙️ DETALLE TÉCNICO'!E1027:E1046="ML"),IFERROR(VLOOKUP('⚙️ DETALLE TÉCNICO'!C1027:C1046,'🧂 INGREDIENTES'!$B$6:$C$500,2,0),0)*'⚙️ DETALLE TÉCNICO'!D1027:D1046/1000,IFERROR(VLOOKUP('⚙️ DETALLE TÉCNICO'!C1027:C1046,'🧂 INGREDIENTES'!$B$6:$C$500,2,0),0)*'⚙️ DETALLE TÉCNICO'!D1027:D1046),0)),0))</f>
        <v/>
      </c>
      <c r="F48" s="108" t="str">
        <f>IF('⚙️ DETALLE TÉCNICO'!M1027="","",IFERROR(SUMPRODUCT(IFERROR('⚙️ DETALLE TÉCNICO'!G1027:G1031*'⚙️ DETALLE TÉCNICO'!H1027:H1031,0)),0))</f>
        <v/>
      </c>
      <c r="G48" s="108" t="str">
        <f>IF('⚙️ DETALLE TÉCNICO'!M1027="","",IFERROR(SUM('⚙️ DETALLE TÉCNICO'!J1027:J1034),0))</f>
        <v/>
      </c>
      <c r="H48" s="109" t="str">
        <f>IF('⚙️ DETALLE TÉCNICO'!M1027="","",E48+F48+G48)</f>
        <v/>
      </c>
      <c r="I48" s="110" t="str">
        <f>IF('⚙️ DETALLE TÉCNICO'!M1027="","",'⚙️ DETALLE TÉCNICO'!K1027)</f>
        <v/>
      </c>
      <c r="J48" s="111" t="str">
        <f>IF('⚙️ DETALLE TÉCNICO'!M1027="","",H48*(1+I48))</f>
        <v/>
      </c>
      <c r="K48" s="10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98">
        <f t="shared" si="1"/>
        <v>44</v>
      </c>
      <c r="B49" s="105" t="str">
        <f>IF('⚙️ DETALLE TÉCNICO'!M1047="","",'⚙️ DETALLE TÉCNICO'!M1047)</f>
        <v/>
      </c>
      <c r="C49" s="107" t="str">
        <f>IF('⚙️ DETALLE TÉCNICO'!M1047="","",'⚙️ DETALLE TÉCNICO'!N1047)</f>
        <v/>
      </c>
      <c r="D49" s="100" t="str">
        <f>IF('⚙️ DETALLE TÉCNICO'!M1047="","",'⚙️ DETALLE TÉCNICO'!L1047)</f>
        <v/>
      </c>
      <c r="E49" s="108" t="str">
        <f>IF('⚙️ DETALLE TÉCNICO'!M1047="","",IFERROR(SUMPRODUCT(IFERROR(IF(('⚙️ DETALLE TÉCNICO'!E1047:E1066="KG")+('⚙️ DETALLE TÉCNICO'!E1047:E1066="LITRO")+('⚙️ DETALLE TÉCNICO'!E1047:E1066="GR")+('⚙️ DETALLE TÉCNICO'!E1047:E1066="ML"),IFERROR(VLOOKUP('⚙️ DETALLE TÉCNICO'!C1047:C1066,'🧂 INGREDIENTES'!$B$6:$C$500,2,0),0)*'⚙️ DETALLE TÉCNICO'!D1047:D1066/1000,IFERROR(VLOOKUP('⚙️ DETALLE TÉCNICO'!C1047:C1066,'🧂 INGREDIENTES'!$B$6:$C$500,2,0),0)*'⚙️ DETALLE TÉCNICO'!D1047:D1066),0)),0))</f>
        <v/>
      </c>
      <c r="F49" s="108" t="str">
        <f>IF('⚙️ DETALLE TÉCNICO'!M1047="","",IFERROR(SUMPRODUCT(IFERROR('⚙️ DETALLE TÉCNICO'!G1047:G1051*'⚙️ DETALLE TÉCNICO'!H1047:H1051,0)),0))</f>
        <v/>
      </c>
      <c r="G49" s="108" t="str">
        <f>IF('⚙️ DETALLE TÉCNICO'!M1047="","",IFERROR(SUM('⚙️ DETALLE TÉCNICO'!J1047:J1054),0))</f>
        <v/>
      </c>
      <c r="H49" s="109" t="str">
        <f>IF('⚙️ DETALLE TÉCNICO'!M1047="","",E49+F49+G49)</f>
        <v/>
      </c>
      <c r="I49" s="110" t="str">
        <f>IF('⚙️ DETALLE TÉCNICO'!M1047="","",'⚙️ DETALLE TÉCNICO'!K1047)</f>
        <v/>
      </c>
      <c r="J49" s="111" t="str">
        <f>IF('⚙️ DETALLE TÉCNICO'!M1047="","",H49*(1+I49))</f>
        <v/>
      </c>
      <c r="K49" s="10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98">
        <f t="shared" si="1"/>
        <v>45</v>
      </c>
      <c r="B50" s="105" t="str">
        <f>IF('⚙️ DETALLE TÉCNICO'!M1067="","",'⚙️ DETALLE TÉCNICO'!M1067)</f>
        <v/>
      </c>
      <c r="C50" s="107" t="str">
        <f>IF('⚙️ DETALLE TÉCNICO'!M1067="","",'⚙️ DETALLE TÉCNICO'!N1067)</f>
        <v/>
      </c>
      <c r="D50" s="100" t="str">
        <f>IF('⚙️ DETALLE TÉCNICO'!M1067="","",'⚙️ DETALLE TÉCNICO'!L1067)</f>
        <v/>
      </c>
      <c r="E50" s="108" t="str">
        <f>IF('⚙️ DETALLE TÉCNICO'!M1067="","",IFERROR(SUMPRODUCT(IFERROR(IF(('⚙️ DETALLE TÉCNICO'!E1067:E1086="KG")+('⚙️ DETALLE TÉCNICO'!E1067:E1086="LITRO")+('⚙️ DETALLE TÉCNICO'!E1067:E1086="GR")+('⚙️ DETALLE TÉCNICO'!E1067:E1086="ML"),IFERROR(VLOOKUP('⚙️ DETALLE TÉCNICO'!C1067:C1086,'🧂 INGREDIENTES'!$B$6:$C$500,2,0),0)*'⚙️ DETALLE TÉCNICO'!D1067:D1086/1000,IFERROR(VLOOKUP('⚙️ DETALLE TÉCNICO'!C1067:C1086,'🧂 INGREDIENTES'!$B$6:$C$500,2,0),0)*'⚙️ DETALLE TÉCNICO'!D1067:D1086),0)),0))</f>
        <v/>
      </c>
      <c r="F50" s="108" t="str">
        <f>IF('⚙️ DETALLE TÉCNICO'!M1067="","",IFERROR(SUMPRODUCT(IFERROR('⚙️ DETALLE TÉCNICO'!G1067:G1071*'⚙️ DETALLE TÉCNICO'!H1067:H1071,0)),0))</f>
        <v/>
      </c>
      <c r="G50" s="108" t="str">
        <f>IF('⚙️ DETALLE TÉCNICO'!M1067="","",IFERROR(SUM('⚙️ DETALLE TÉCNICO'!J1067:J1074),0))</f>
        <v/>
      </c>
      <c r="H50" s="109" t="str">
        <f>IF('⚙️ DETALLE TÉCNICO'!M1067="","",E50+F50+G50)</f>
        <v/>
      </c>
      <c r="I50" s="110" t="str">
        <f>IF('⚙️ DETALLE TÉCNICO'!M1067="","",'⚙️ DETALLE TÉCNICO'!K1067)</f>
        <v/>
      </c>
      <c r="J50" s="111" t="str">
        <f>IF('⚙️ DETALLE TÉCNICO'!M1067="","",H50*(1+I50))</f>
        <v/>
      </c>
      <c r="K50" s="10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98">
        <f t="shared" si="1"/>
        <v>46</v>
      </c>
      <c r="B51" s="105"/>
      <c r="C51" s="107"/>
      <c r="D51" s="100"/>
      <c r="E51" s="108"/>
      <c r="F51" s="108"/>
      <c r="G51" s="108"/>
      <c r="H51" s="109"/>
      <c r="I51" s="110"/>
      <c r="J51" s="111"/>
      <c r="K51" s="10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98">
        <f t="shared" si="1"/>
        <v>47</v>
      </c>
      <c r="B52" s="105"/>
      <c r="C52" s="107"/>
      <c r="D52" s="100"/>
      <c r="E52" s="108"/>
      <c r="F52" s="108"/>
      <c r="G52" s="108"/>
      <c r="H52" s="109"/>
      <c r="I52" s="110"/>
      <c r="J52" s="111"/>
      <c r="K52" s="10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98">
        <f t="shared" si="1"/>
        <v>48</v>
      </c>
      <c r="B53" s="105"/>
      <c r="C53" s="107"/>
      <c r="D53" s="100"/>
      <c r="E53" s="108"/>
      <c r="F53" s="108"/>
      <c r="G53" s="108"/>
      <c r="H53" s="109"/>
      <c r="I53" s="110"/>
      <c r="J53" s="111"/>
      <c r="K53" s="10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98">
        <f t="shared" si="1"/>
        <v>49</v>
      </c>
      <c r="B54" s="105"/>
      <c r="C54" s="176"/>
      <c r="D54" s="100"/>
      <c r="E54" s="86"/>
      <c r="F54" s="86"/>
      <c r="G54" s="86"/>
      <c r="H54" s="177"/>
      <c r="I54" s="178"/>
      <c r="J54" s="179"/>
      <c r="K54" s="10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98">
        <f t="shared" si="1"/>
        <v>50</v>
      </c>
      <c r="B55" s="105"/>
      <c r="C55" s="176"/>
      <c r="D55" s="100"/>
      <c r="E55" s="86"/>
      <c r="F55" s="86"/>
      <c r="G55" s="86"/>
      <c r="H55" s="177"/>
      <c r="I55" s="178"/>
      <c r="J55" s="179"/>
      <c r="K55" s="10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98">
        <f t="shared" si="1"/>
        <v>51</v>
      </c>
      <c r="B56" s="105"/>
      <c r="C56" s="176"/>
      <c r="D56" s="100"/>
      <c r="E56" s="86"/>
      <c r="F56" s="86"/>
      <c r="G56" s="86"/>
      <c r="H56" s="177"/>
      <c r="I56" s="178"/>
      <c r="J56" s="179"/>
      <c r="K56" s="10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98">
        <f t="shared" si="1"/>
        <v>52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98">
        <f t="shared" si="1"/>
        <v>53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98">
        <f t="shared" si="1"/>
        <v>54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98">
        <f t="shared" si="1"/>
        <v>55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98">
        <f t="shared" si="1"/>
        <v>56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98">
        <f t="shared" si="1"/>
        <v>57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98">
        <f t="shared" si="1"/>
        <v>58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98">
        <f t="shared" si="1"/>
        <v>59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98">
        <f t="shared" si="1"/>
        <v>60</v>
      </c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98">
        <f t="shared" si="1"/>
        <v>61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98">
        <f t="shared" si="1"/>
        <v>62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98">
        <f t="shared" si="1"/>
        <v>63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98">
        <f t="shared" si="1"/>
        <v>64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98">
        <f t="shared" si="1"/>
        <v>65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98">
        <f t="shared" si="1"/>
        <v>66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98">
        <f t="shared" si="1"/>
        <v>67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98">
        <f t="shared" si="1"/>
        <v>68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98">
        <f t="shared" si="1"/>
        <v>69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98">
        <f t="shared" si="1"/>
        <v>70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98">
        <f t="shared" si="1"/>
        <v>71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98">
        <f t="shared" si="1"/>
        <v>72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98">
        <f t="shared" si="1"/>
        <v>73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98">
        <f t="shared" si="1"/>
        <v>74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98">
        <f t="shared" si="1"/>
        <v>75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98">
        <f t="shared" si="1"/>
        <v>76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98">
        <f t="shared" si="1"/>
        <v>77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98">
        <f t="shared" si="1"/>
        <v>78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98">
        <f t="shared" si="1"/>
        <v>79</v>
      </c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98">
        <f t="shared" si="1"/>
        <v>80</v>
      </c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98">
        <f t="shared" si="1"/>
        <v>81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98">
        <f t="shared" si="1"/>
        <v>82</v>
      </c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98">
        <f t="shared" si="1"/>
        <v>83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98">
        <f t="shared" si="1"/>
        <v>84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98">
        <f t="shared" si="1"/>
        <v>85</v>
      </c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98">
        <f t="shared" si="1"/>
        <v>86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98">
        <f t="shared" si="1"/>
        <v>87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98">
        <f t="shared" si="1"/>
        <v>88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98">
        <f t="shared" si="1"/>
        <v>89</v>
      </c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98">
        <f t="shared" si="1"/>
        <v>90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98">
        <f t="shared" si="1"/>
        <v>91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98">
        <f t="shared" si="1"/>
        <v>92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98">
        <f t="shared" si="1"/>
        <v>93</v>
      </c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98">
        <f t="shared" si="1"/>
        <v>94</v>
      </c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98">
        <f t="shared" si="1"/>
        <v>95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98">
        <f t="shared" si="1"/>
        <v>96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98">
        <f t="shared" si="1"/>
        <v>97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98">
        <f t="shared" si="1"/>
        <v>98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98">
        <f t="shared" si="1"/>
        <v>99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98">
        <f t="shared" si="1"/>
        <v>100</v>
      </c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98">
        <f t="shared" si="1"/>
        <v>101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98">
        <f t="shared" si="1"/>
        <v>102</v>
      </c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98">
        <f t="shared" si="1"/>
        <v>103</v>
      </c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98">
        <f t="shared" si="1"/>
        <v>104</v>
      </c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98">
        <f t="shared" si="1"/>
        <v>105</v>
      </c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98">
        <f t="shared" si="1"/>
        <v>106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98">
        <f t="shared" si="1"/>
        <v>107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98">
        <f t="shared" si="1"/>
        <v>108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98">
        <f t="shared" si="1"/>
        <v>109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98">
        <f t="shared" si="1"/>
        <v>110</v>
      </c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98">
        <f t="shared" si="1"/>
        <v>111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98">
        <f t="shared" si="1"/>
        <v>112</v>
      </c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98">
        <f t="shared" si="1"/>
        <v>113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98">
        <f t="shared" si="1"/>
        <v>114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98">
        <f t="shared" si="1"/>
        <v>115</v>
      </c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98">
        <f t="shared" si="1"/>
        <v>116</v>
      </c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98">
        <f t="shared" si="1"/>
        <v>117</v>
      </c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98">
        <f t="shared" si="1"/>
        <v>118</v>
      </c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98">
        <f t="shared" si="1"/>
        <v>119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98">
        <f t="shared" si="1"/>
        <v>120</v>
      </c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98">
        <f t="shared" si="1"/>
        <v>121</v>
      </c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98">
        <f t="shared" si="1"/>
        <v>122</v>
      </c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98">
        <f t="shared" si="1"/>
        <v>123</v>
      </c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98">
        <f t="shared" si="1"/>
        <v>124</v>
      </c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98">
        <f t="shared" si="1"/>
        <v>125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98">
        <f t="shared" si="1"/>
        <v>126</v>
      </c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98">
        <f t="shared" si="1"/>
        <v>127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98">
        <f t="shared" si="1"/>
        <v>128</v>
      </c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98">
        <f t="shared" si="1"/>
        <v>129</v>
      </c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98">
        <f t="shared" si="1"/>
        <v>130</v>
      </c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98">
        <f t="shared" si="1"/>
        <v>131</v>
      </c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98">
        <f t="shared" si="1"/>
        <v>132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98">
        <f t="shared" si="1"/>
        <v>133</v>
      </c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98">
        <f t="shared" si="1"/>
        <v>134</v>
      </c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98">
        <f t="shared" si="1"/>
        <v>135</v>
      </c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98">
        <f t="shared" si="1"/>
        <v>136</v>
      </c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98">
        <f t="shared" si="1"/>
        <v>137</v>
      </c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98">
        <f t="shared" si="1"/>
        <v>138</v>
      </c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98">
        <f t="shared" si="1"/>
        <v>139</v>
      </c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98">
        <f t="shared" si="1"/>
        <v>140</v>
      </c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98">
        <f t="shared" si="1"/>
        <v>141</v>
      </c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98">
        <f t="shared" si="1"/>
        <v>142</v>
      </c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98">
        <f t="shared" si="1"/>
        <v>143</v>
      </c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98">
        <f t="shared" si="1"/>
        <v>144</v>
      </c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98">
        <f t="shared" si="1"/>
        <v>145</v>
      </c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98">
        <f t="shared" si="1"/>
        <v>146</v>
      </c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98">
        <f t="shared" si="1"/>
        <v>147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98">
        <f t="shared" si="1"/>
        <v>148</v>
      </c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98">
        <f t="shared" si="1"/>
        <v>149</v>
      </c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98">
        <f t="shared" si="1"/>
        <v>150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98">
        <f t="shared" si="1"/>
        <v>151</v>
      </c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98">
        <f t="shared" si="1"/>
        <v>152</v>
      </c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98">
        <f t="shared" si="1"/>
        <v>153</v>
      </c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98">
        <f t="shared" si="1"/>
        <v>154</v>
      </c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98">
        <f t="shared" si="1"/>
        <v>155</v>
      </c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98">
        <f t="shared" si="1"/>
        <v>156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98">
        <f t="shared" si="1"/>
        <v>157</v>
      </c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98">
        <f t="shared" si="1"/>
        <v>158</v>
      </c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98">
        <f t="shared" si="1"/>
        <v>159</v>
      </c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98">
        <f t="shared" si="1"/>
        <v>160</v>
      </c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98">
        <f t="shared" si="1"/>
        <v>161</v>
      </c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98">
        <f t="shared" si="1"/>
        <v>162</v>
      </c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98">
        <f t="shared" si="1"/>
        <v>163</v>
      </c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98">
        <f t="shared" si="1"/>
        <v>164</v>
      </c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98">
        <f t="shared" si="1"/>
        <v>165</v>
      </c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98">
        <f t="shared" si="1"/>
        <v>166</v>
      </c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98">
        <f t="shared" si="1"/>
        <v>167</v>
      </c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98">
        <f t="shared" si="1"/>
        <v>168</v>
      </c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98">
        <f t="shared" si="1"/>
        <v>169</v>
      </c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98">
        <f t="shared" si="1"/>
        <v>170</v>
      </c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98">
        <f t="shared" si="1"/>
        <v>171</v>
      </c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98">
        <f t="shared" si="1"/>
        <v>172</v>
      </c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98">
        <f t="shared" si="1"/>
        <v>173</v>
      </c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98">
        <f t="shared" si="1"/>
        <v>174</v>
      </c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98">
        <f t="shared" si="1"/>
        <v>175</v>
      </c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98">
        <f t="shared" si="1"/>
        <v>176</v>
      </c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98">
        <f t="shared" si="1"/>
        <v>177</v>
      </c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98">
        <f t="shared" si="1"/>
        <v>178</v>
      </c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98">
        <f t="shared" si="1"/>
        <v>179</v>
      </c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98">
        <f t="shared" si="1"/>
        <v>180</v>
      </c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98">
        <f t="shared" si="1"/>
        <v>181</v>
      </c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98">
        <f t="shared" si="1"/>
        <v>182</v>
      </c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98">
        <f t="shared" si="1"/>
        <v>183</v>
      </c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98">
        <f t="shared" si="1"/>
        <v>184</v>
      </c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98">
        <f t="shared" si="1"/>
        <v>185</v>
      </c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98">
        <f t="shared" si="1"/>
        <v>186</v>
      </c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98">
        <f t="shared" si="1"/>
        <v>187</v>
      </c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98">
        <f t="shared" si="1"/>
        <v>188</v>
      </c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98">
        <f t="shared" si="1"/>
        <v>189</v>
      </c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98">
        <f t="shared" si="1"/>
        <v>190</v>
      </c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98">
        <f t="shared" si="1"/>
        <v>191</v>
      </c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98">
        <f t="shared" si="1"/>
        <v>192</v>
      </c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98">
        <f t="shared" si="1"/>
        <v>193</v>
      </c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98">
        <f t="shared" si="1"/>
        <v>194</v>
      </c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98">
        <f t="shared" si="1"/>
        <v>195</v>
      </c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98">
        <f t="shared" si="1"/>
        <v>196</v>
      </c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98">
        <f t="shared" si="1"/>
        <v>197</v>
      </c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98">
        <f t="shared" si="1"/>
        <v>198</v>
      </c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98">
        <f t="shared" si="1"/>
        <v>199</v>
      </c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98">
        <f t="shared" si="1"/>
        <v>200</v>
      </c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98">
        <f t="shared" si="1"/>
        <v>201</v>
      </c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98">
        <f t="shared" si="1"/>
        <v>202</v>
      </c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98">
        <f t="shared" si="1"/>
        <v>203</v>
      </c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98">
        <f t="shared" si="1"/>
        <v>204</v>
      </c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98">
        <f t="shared" si="1"/>
        <v>205</v>
      </c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98">
        <f t="shared" si="1"/>
        <v>206</v>
      </c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98">
        <f t="shared" si="1"/>
        <v>207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98">
        <f t="shared" si="1"/>
        <v>208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98">
        <f t="shared" si="1"/>
        <v>209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98">
        <f t="shared" si="1"/>
        <v>210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98">
        <f t="shared" si="1"/>
        <v>211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98">
        <f t="shared" si="1"/>
        <v>212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98">
        <f t="shared" si="1"/>
        <v>213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98">
        <f t="shared" si="1"/>
        <v>214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98">
        <f t="shared" si="1"/>
        <v>215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98">
        <f t="shared" si="1"/>
        <v>216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98">
        <f t="shared" si="1"/>
        <v>217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98">
        <f t="shared" si="1"/>
        <v>218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98">
        <f t="shared" si="1"/>
        <v>219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98">
        <f t="shared" si="1"/>
        <v>220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98">
        <f t="shared" si="1"/>
        <v>221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98">
        <f t="shared" si="1"/>
        <v>222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98">
        <f t="shared" si="1"/>
        <v>223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98">
        <f t="shared" si="1"/>
        <v>224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98">
        <f t="shared" si="1"/>
        <v>225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98">
        <f t="shared" si="1"/>
        <v>226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98">
        <f t="shared" si="1"/>
        <v>227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98">
        <f t="shared" si="1"/>
        <v>228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98">
        <f t="shared" si="1"/>
        <v>229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98">
        <f t="shared" si="1"/>
        <v>230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98">
        <f t="shared" si="1"/>
        <v>231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98">
        <f t="shared" si="1"/>
        <v>232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98">
        <f t="shared" si="1"/>
        <v>233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98">
        <f t="shared" si="1"/>
        <v>234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98">
        <f t="shared" si="1"/>
        <v>235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98">
        <f t="shared" si="1"/>
        <v>236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98">
        <f t="shared" si="1"/>
        <v>237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98">
        <f t="shared" si="1"/>
        <v>238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98">
        <f t="shared" si="1"/>
        <v>239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98">
        <f t="shared" si="1"/>
        <v>240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98">
        <f t="shared" si="1"/>
        <v>241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98">
        <f t="shared" si="1"/>
        <v>242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98">
        <f t="shared" si="1"/>
        <v>243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98">
        <f t="shared" si="1"/>
        <v>244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98">
        <f t="shared" si="1"/>
        <v>245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98">
        <f t="shared" si="1"/>
        <v>246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98">
        <f t="shared" si="1"/>
        <v>247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98">
        <f t="shared" si="1"/>
        <v>248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98">
        <f t="shared" si="1"/>
        <v>249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98">
        <f t="shared" si="1"/>
        <v>250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98">
        <f t="shared" si="1"/>
        <v>251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98">
        <f t="shared" si="1"/>
        <v>252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98">
        <f t="shared" si="1"/>
        <v>253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98">
        <f t="shared" si="1"/>
        <v>254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98">
        <f t="shared" si="1"/>
        <v>255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98">
        <f t="shared" si="1"/>
        <v>256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98">
        <f t="shared" si="1"/>
        <v>257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98">
        <f t="shared" si="1"/>
        <v>258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98">
        <f t="shared" si="1"/>
        <v>259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98">
        <f t="shared" si="1"/>
        <v>260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98">
        <f t="shared" si="1"/>
        <v>261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98">
        <f t="shared" si="1"/>
        <v>262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98">
        <f t="shared" si="1"/>
        <v>263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98">
        <f t="shared" si="1"/>
        <v>264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98">
        <f t="shared" si="1"/>
        <v>265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98">
        <f t="shared" si="1"/>
        <v>266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98">
        <f t="shared" si="1"/>
        <v>267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98">
        <f t="shared" si="1"/>
        <v>268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98">
        <f t="shared" si="1"/>
        <v>269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98">
        <f t="shared" si="1"/>
        <v>270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98">
        <f t="shared" si="1"/>
        <v>271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98">
        <f t="shared" si="1"/>
        <v>272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98">
        <f t="shared" si="1"/>
        <v>273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98">
        <f t="shared" si="1"/>
        <v>274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98">
        <f t="shared" si="1"/>
        <v>275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98">
        <f t="shared" si="1"/>
        <v>276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98">
        <f t="shared" si="1"/>
        <v>277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98">
        <f t="shared" si="1"/>
        <v>278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98">
        <f t="shared" si="1"/>
        <v>279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98">
        <f t="shared" si="1"/>
        <v>280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98">
        <f t="shared" si="1"/>
        <v>281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98">
        <f t="shared" si="1"/>
        <v>282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98">
        <f t="shared" si="1"/>
        <v>283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98">
        <f t="shared" si="1"/>
        <v>284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98">
        <f t="shared" si="1"/>
        <v>285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98">
        <f t="shared" si="1"/>
        <v>286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98">
        <f t="shared" si="1"/>
        <v>287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98">
        <f t="shared" si="1"/>
        <v>288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98">
        <f t="shared" si="1"/>
        <v>289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98">
        <f t="shared" si="1"/>
        <v>290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98">
        <f t="shared" si="1"/>
        <v>291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98">
        <f t="shared" si="1"/>
        <v>292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98">
        <f t="shared" si="1"/>
        <v>293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98">
        <f t="shared" si="1"/>
        <v>294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98">
        <f t="shared" si="1"/>
        <v>295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98">
        <f t="shared" si="1"/>
        <v>296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98">
        <f t="shared" si="1"/>
        <v>297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98">
        <f t="shared" si="1"/>
        <v>298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98">
        <f t="shared" si="1"/>
        <v>299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98">
        <f t="shared" si="1"/>
        <v>300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98">
        <f t="shared" si="1"/>
        <v>301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98">
        <f t="shared" si="1"/>
        <v>302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98">
        <f t="shared" si="1"/>
        <v>303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98">
        <f t="shared" si="1"/>
        <v>304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98">
        <f t="shared" si="1"/>
        <v>305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98">
        <f t="shared" si="1"/>
        <v>306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98">
        <f t="shared" si="1"/>
        <v>307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98">
        <f t="shared" si="1"/>
        <v>308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98">
        <f t="shared" si="1"/>
        <v>309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98">
        <f t="shared" si="1"/>
        <v>310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98">
        <f t="shared" si="1"/>
        <v>311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98">
        <f t="shared" si="1"/>
        <v>312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98">
        <f t="shared" si="1"/>
        <v>313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98">
        <f t="shared" si="1"/>
        <v>314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98">
        <f t="shared" si="1"/>
        <v>315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98">
        <f t="shared" si="1"/>
        <v>316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98">
        <f t="shared" si="1"/>
        <v>317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98">
        <f t="shared" si="1"/>
        <v>318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98">
        <f t="shared" si="1"/>
        <v>319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98">
        <f t="shared" si="1"/>
        <v>320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98">
        <f t="shared" si="1"/>
        <v>321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98">
        <f t="shared" si="1"/>
        <v>322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98">
        <f t="shared" si="1"/>
        <v>323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98">
        <f t="shared" si="1"/>
        <v>324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98">
        <f t="shared" si="1"/>
        <v>325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98">
        <f t="shared" si="1"/>
        <v>326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98">
        <f t="shared" si="1"/>
        <v>327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98">
        <f t="shared" si="1"/>
        <v>328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98">
        <f t="shared" si="1"/>
        <v>329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98">
        <f t="shared" si="1"/>
        <v>330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98">
        <f t="shared" si="1"/>
        <v>331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98">
        <f t="shared" si="1"/>
        <v>332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98">
        <f t="shared" si="1"/>
        <v>333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98">
        <f t="shared" si="1"/>
        <v>334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98">
        <f t="shared" si="1"/>
        <v>335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98">
        <f t="shared" si="1"/>
        <v>336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98">
        <f t="shared" si="1"/>
        <v>337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98">
        <f t="shared" si="1"/>
        <v>338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98">
        <f t="shared" si="1"/>
        <v>339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98">
        <f t="shared" si="1"/>
        <v>340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98">
        <f t="shared" si="1"/>
        <v>341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98">
        <f t="shared" si="1"/>
        <v>342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98">
        <f t="shared" si="1"/>
        <v>343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98">
        <f t="shared" si="1"/>
        <v>344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98">
        <f t="shared" si="1"/>
        <v>345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98">
        <f t="shared" si="1"/>
        <v>346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98">
        <f t="shared" si="1"/>
        <v>347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98">
        <f t="shared" si="1"/>
        <v>348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98">
        <f t="shared" si="1"/>
        <v>349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98">
        <f t="shared" si="1"/>
        <v>350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98">
        <f t="shared" si="1"/>
        <v>351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98">
        <f t="shared" si="1"/>
        <v>352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98">
        <f t="shared" si="1"/>
        <v>353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98">
        <f t="shared" si="1"/>
        <v>354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98">
        <f t="shared" si="1"/>
        <v>355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98">
        <f t="shared" si="1"/>
        <v>356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98">
        <f t="shared" si="1"/>
        <v>357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98">
        <f t="shared" si="1"/>
        <v>358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98">
        <f t="shared" si="1"/>
        <v>359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98">
        <f t="shared" si="1"/>
        <v>360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98">
        <f t="shared" si="1"/>
        <v>361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98">
        <f t="shared" si="1"/>
        <v>362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98">
        <f t="shared" si="1"/>
        <v>363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98">
        <f t="shared" si="1"/>
        <v>364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98">
        <f t="shared" si="1"/>
        <v>365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98">
        <f t="shared" si="1"/>
        <v>366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98">
        <f t="shared" si="1"/>
        <v>367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98">
        <f t="shared" si="1"/>
        <v>368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98">
        <f t="shared" si="1"/>
        <v>369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98">
        <f t="shared" si="1"/>
        <v>370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98">
        <f t="shared" si="1"/>
        <v>371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98">
        <f t="shared" si="1"/>
        <v>372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98">
        <f t="shared" si="1"/>
        <v>373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98">
        <f t="shared" si="1"/>
        <v>374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98">
        <f t="shared" si="1"/>
        <v>375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98">
        <f t="shared" si="1"/>
        <v>376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98">
        <f t="shared" si="1"/>
        <v>377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98">
        <f t="shared" si="1"/>
        <v>378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98">
        <f t="shared" si="1"/>
        <v>379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98">
        <f t="shared" si="1"/>
        <v>380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98">
        <f t="shared" si="1"/>
        <v>381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98">
        <f t="shared" si="1"/>
        <v>382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98">
        <f t="shared" si="1"/>
        <v>383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98">
        <f t="shared" si="1"/>
        <v>384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98">
        <f t="shared" si="1"/>
        <v>385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98">
        <f t="shared" si="1"/>
        <v>386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98">
        <f t="shared" si="1"/>
        <v>387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98">
        <f t="shared" si="1"/>
        <v>388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98">
        <f t="shared" si="1"/>
        <v>389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98">
        <f t="shared" si="1"/>
        <v>390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98">
        <f t="shared" si="1"/>
        <v>391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98">
        <f t="shared" si="1"/>
        <v>392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98">
        <f t="shared" si="1"/>
        <v>393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98">
        <f t="shared" si="1"/>
        <v>394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98">
        <f t="shared" si="1"/>
        <v>395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98">
        <f t="shared" si="1"/>
        <v>396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98">
        <f t="shared" si="1"/>
        <v>397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98">
        <f t="shared" si="1"/>
        <v>398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98">
        <f t="shared" si="1"/>
        <v>399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98">
        <f t="shared" si="1"/>
        <v>400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98">
        <f t="shared" si="1"/>
        <v>401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98">
        <f t="shared" si="1"/>
        <v>402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98">
        <f t="shared" si="1"/>
        <v>403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98">
        <f t="shared" si="1"/>
        <v>404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98">
        <f t="shared" si="1"/>
        <v>405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98">
        <f t="shared" si="1"/>
        <v>406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98">
        <f t="shared" si="1"/>
        <v>407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98">
        <f t="shared" si="1"/>
        <v>408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98">
        <f t="shared" si="1"/>
        <v>409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98">
        <f t="shared" si="1"/>
        <v>410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98">
        <f t="shared" si="1"/>
        <v>411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98">
        <f t="shared" si="1"/>
        <v>412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98">
        <f t="shared" si="1"/>
        <v>413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98">
        <f t="shared" si="1"/>
        <v>414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98">
        <f t="shared" si="1"/>
        <v>415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98">
        <f t="shared" si="1"/>
        <v>416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98">
        <f t="shared" si="1"/>
        <v>417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98">
        <f t="shared" si="1"/>
        <v>418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98">
        <f t="shared" si="1"/>
        <v>419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98">
        <f t="shared" si="1"/>
        <v>420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98">
        <f t="shared" si="1"/>
        <v>421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98">
        <f t="shared" si="1"/>
        <v>422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98">
        <f t="shared" si="1"/>
        <v>423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98">
        <f t="shared" si="1"/>
        <v>424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98">
        <f t="shared" si="1"/>
        <v>425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98">
        <f t="shared" si="1"/>
        <v>426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98">
        <f t="shared" si="1"/>
        <v>427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98">
        <f t="shared" si="1"/>
        <v>428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98">
        <f t="shared" si="1"/>
        <v>429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98">
        <f t="shared" si="1"/>
        <v>430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98">
        <f t="shared" si="1"/>
        <v>431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98">
        <f t="shared" si="1"/>
        <v>432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98">
        <f t="shared" si="1"/>
        <v>433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98">
        <f t="shared" si="1"/>
        <v>434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98">
        <f t="shared" si="1"/>
        <v>435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98">
        <f t="shared" si="1"/>
        <v>436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98">
        <f t="shared" si="1"/>
        <v>437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98">
        <f t="shared" si="1"/>
        <v>438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98">
        <f t="shared" si="1"/>
        <v>439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98">
        <f t="shared" si="1"/>
        <v>440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98">
        <f t="shared" si="1"/>
        <v>441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98">
        <f t="shared" si="1"/>
        <v>442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98">
        <f t="shared" si="1"/>
        <v>443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98">
        <f t="shared" si="1"/>
        <v>444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98">
        <f t="shared" si="1"/>
        <v>445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98">
        <f t="shared" si="1"/>
        <v>446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98">
        <f t="shared" si="1"/>
        <v>447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98">
        <f t="shared" si="1"/>
        <v>448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98">
        <f t="shared" si="1"/>
        <v>449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98">
        <f t="shared" si="1"/>
        <v>450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98">
        <f t="shared" si="1"/>
        <v>451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98">
        <f t="shared" si="1"/>
        <v>452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98">
        <f t="shared" si="1"/>
        <v>453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98">
        <f t="shared" si="1"/>
        <v>454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98">
        <f t="shared" si="1"/>
        <v>455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98">
        <f t="shared" si="1"/>
        <v>456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98">
        <f t="shared" si="1"/>
        <v>457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98">
        <f t="shared" si="1"/>
        <v>458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98">
        <f t="shared" si="1"/>
        <v>459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98">
        <f t="shared" si="1"/>
        <v>460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98">
        <f t="shared" si="1"/>
        <v>461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98">
        <f t="shared" si="1"/>
        <v>462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98">
        <f t="shared" si="1"/>
        <v>463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98">
        <f t="shared" si="1"/>
        <v>464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98">
        <f t="shared" si="1"/>
        <v>465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98">
        <f t="shared" si="1"/>
        <v>466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98">
        <f t="shared" si="1"/>
        <v>467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98">
        <f t="shared" si="1"/>
        <v>468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98">
        <f t="shared" si="1"/>
        <v>469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98">
        <f t="shared" si="1"/>
        <v>470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98">
        <f t="shared" si="1"/>
        <v>471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98">
        <f t="shared" si="1"/>
        <v>472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98">
        <f t="shared" si="1"/>
        <v>473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98">
        <f t="shared" si="1"/>
        <v>474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98">
        <f t="shared" si="1"/>
        <v>475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98">
        <f t="shared" si="1"/>
        <v>476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98">
        <f t="shared" si="1"/>
        <v>477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98">
        <f t="shared" si="1"/>
        <v>478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98">
        <f t="shared" si="1"/>
        <v>479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98">
        <f t="shared" si="1"/>
        <v>480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98">
        <f t="shared" si="1"/>
        <v>481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98">
        <f t="shared" si="1"/>
        <v>482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98">
        <f t="shared" si="1"/>
        <v>483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98">
        <f t="shared" si="1"/>
        <v>484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98">
        <f t="shared" si="1"/>
        <v>485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98">
        <f t="shared" si="1"/>
        <v>486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98">
        <f t="shared" si="1"/>
        <v>487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98">
        <f t="shared" si="1"/>
        <v>488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98">
        <f t="shared" si="1"/>
        <v>489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98">
        <f t="shared" si="1"/>
        <v>490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98">
        <f t="shared" si="1"/>
        <v>491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98">
        <f t="shared" si="1"/>
        <v>492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98">
        <f t="shared" si="1"/>
        <v>493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98">
        <f t="shared" si="1"/>
        <v>494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98">
        <f t="shared" si="1"/>
        <v>495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98">
        <f t="shared" si="1"/>
        <v>496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98">
        <f t="shared" si="1"/>
        <v>497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98">
        <f t="shared" si="1"/>
        <v>498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98">
        <f t="shared" si="1"/>
        <v>499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98">
        <f t="shared" si="1"/>
        <v>500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</sheetData>
  <mergeCells count="4">
    <mergeCell ref="A1:K1"/>
    <mergeCell ref="A2:K2"/>
    <mergeCell ref="A3:K3"/>
    <mergeCell ref="A4:K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8888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5.0"/>
    <col customWidth="1" min="3" max="3" width="26.0"/>
    <col customWidth="1" min="4" max="4" width="16.0"/>
    <col customWidth="1" min="5" max="5" width="10.0"/>
    <col customWidth="1" min="6" max="9" width="18.0"/>
    <col customWidth="1" min="10" max="11" width="16.0"/>
    <col customWidth="1" min="12" max="12" width="18.0"/>
    <col customWidth="1" min="13" max="13" width="28.0"/>
    <col customWidth="1" min="14" max="14" width="14.0"/>
  </cols>
  <sheetData>
    <row r="1" ht="15.0" customHeight="1">
      <c r="A1" s="11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69"/>
      <c r="N1" s="6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17" t="s">
        <v>154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9"/>
      <c r="N2" s="6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18" t="s">
        <v>155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9"/>
      <c r="N3" s="6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69"/>
      <c r="N4" s="6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20" t="s">
        <v>156</v>
      </c>
      <c r="B5" s="1"/>
      <c r="C5" s="120" t="s">
        <v>7</v>
      </c>
      <c r="D5" s="1"/>
      <c r="E5" s="1"/>
      <c r="F5" s="121" t="s">
        <v>157</v>
      </c>
      <c r="G5" s="1"/>
      <c r="H5" s="1"/>
      <c r="I5" s="122" t="s">
        <v>150</v>
      </c>
      <c r="J5" s="1"/>
      <c r="K5" s="123" t="s">
        <v>158</v>
      </c>
      <c r="L5" s="1"/>
      <c r="M5" s="69"/>
      <c r="N5" s="6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24" t="s">
        <v>159</v>
      </c>
      <c r="B6" s="124" t="s">
        <v>160</v>
      </c>
      <c r="C6" s="124" t="s">
        <v>7</v>
      </c>
      <c r="D6" s="124" t="s">
        <v>140</v>
      </c>
      <c r="E6" s="124" t="s">
        <v>9</v>
      </c>
      <c r="F6" s="125" t="s">
        <v>161</v>
      </c>
      <c r="G6" s="125" t="s">
        <v>162</v>
      </c>
      <c r="H6" s="125" t="s">
        <v>163</v>
      </c>
      <c r="I6" s="126" t="s">
        <v>164</v>
      </c>
      <c r="J6" s="126" t="s">
        <v>165</v>
      </c>
      <c r="K6" s="127" t="s">
        <v>152</v>
      </c>
      <c r="L6" s="127" t="s">
        <v>147</v>
      </c>
      <c r="M6" s="125" t="s">
        <v>166</v>
      </c>
      <c r="N6" s="125" t="s">
        <v>146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28">
        <v>1.0</v>
      </c>
      <c r="B7" s="129">
        <v>1.0</v>
      </c>
      <c r="C7" s="130" t="s">
        <v>87</v>
      </c>
      <c r="D7" s="131">
        <v>510.0</v>
      </c>
      <c r="E7" s="130" t="s">
        <v>16</v>
      </c>
      <c r="F7" s="132" t="s">
        <v>167</v>
      </c>
      <c r="G7" s="133">
        <v>2.0</v>
      </c>
      <c r="H7" s="133">
        <v>0.0</v>
      </c>
      <c r="I7" s="134" t="s">
        <v>168</v>
      </c>
      <c r="J7" s="135">
        <v>90.0</v>
      </c>
      <c r="K7" s="136">
        <v>1.0</v>
      </c>
      <c r="L7" s="137"/>
      <c r="M7" s="130" t="s">
        <v>134</v>
      </c>
      <c r="N7" s="138">
        <v>46225.53070577546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28">
        <v>1.0</v>
      </c>
      <c r="B8" s="129">
        <v>2.0</v>
      </c>
      <c r="C8" s="139" t="s">
        <v>14</v>
      </c>
      <c r="D8" s="140">
        <v>500.0</v>
      </c>
      <c r="E8" s="139" t="s">
        <v>16</v>
      </c>
      <c r="F8" s="141"/>
      <c r="G8" s="141"/>
      <c r="H8" s="141"/>
      <c r="I8" s="134" t="s">
        <v>169</v>
      </c>
      <c r="J8" s="135">
        <v>35.0</v>
      </c>
      <c r="K8" s="142"/>
      <c r="L8" s="142"/>
      <c r="M8" s="143"/>
      <c r="N8" s="14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28">
        <v>1.0</v>
      </c>
      <c r="B9" s="129">
        <v>3.0</v>
      </c>
      <c r="C9" s="130" t="s">
        <v>71</v>
      </c>
      <c r="D9" s="131">
        <v>100.0</v>
      </c>
      <c r="E9" s="130" t="s">
        <v>16</v>
      </c>
      <c r="F9" s="141"/>
      <c r="G9" s="141"/>
      <c r="H9" s="141"/>
      <c r="I9" s="147"/>
      <c r="J9" s="147"/>
      <c r="K9" s="142"/>
      <c r="L9" s="142"/>
      <c r="M9" s="143"/>
      <c r="N9" s="14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28">
        <v>1.0</v>
      </c>
      <c r="B10" s="129">
        <v>4.0</v>
      </c>
      <c r="C10" s="139" t="s">
        <v>20</v>
      </c>
      <c r="D10" s="148"/>
      <c r="E10" s="139" t="s">
        <v>16</v>
      </c>
      <c r="F10" s="141"/>
      <c r="G10" s="141"/>
      <c r="H10" s="141"/>
      <c r="I10" s="147"/>
      <c r="J10" s="147"/>
      <c r="K10" s="142"/>
      <c r="L10" s="142"/>
      <c r="M10" s="143"/>
      <c r="N10" s="14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28">
        <v>1.0</v>
      </c>
      <c r="B11" s="129">
        <v>5.0</v>
      </c>
      <c r="C11" s="150"/>
      <c r="D11" s="150"/>
      <c r="E11" s="150"/>
      <c r="F11" s="141"/>
      <c r="G11" s="141"/>
      <c r="H11" s="141"/>
      <c r="I11" s="147"/>
      <c r="J11" s="147"/>
      <c r="K11" s="142"/>
      <c r="L11" s="142"/>
      <c r="M11" s="143"/>
      <c r="N11" s="14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28">
        <v>1.0</v>
      </c>
      <c r="B12" s="129">
        <v>6.0</v>
      </c>
      <c r="C12" s="148"/>
      <c r="D12" s="148"/>
      <c r="E12" s="148"/>
      <c r="F12" s="142"/>
      <c r="G12" s="142"/>
      <c r="H12" s="142"/>
      <c r="I12" s="147"/>
      <c r="J12" s="147"/>
      <c r="K12" s="142"/>
      <c r="L12" s="142"/>
      <c r="M12" s="143"/>
      <c r="N12" s="14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28">
        <v>1.0</v>
      </c>
      <c r="B13" s="129">
        <v>7.0</v>
      </c>
      <c r="C13" s="150"/>
      <c r="D13" s="150"/>
      <c r="E13" s="150"/>
      <c r="F13" s="142"/>
      <c r="G13" s="142"/>
      <c r="H13" s="142"/>
      <c r="I13" s="147"/>
      <c r="J13" s="147"/>
      <c r="K13" s="142"/>
      <c r="L13" s="142"/>
      <c r="M13" s="143"/>
      <c r="N13" s="14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28">
        <v>1.0</v>
      </c>
      <c r="B14" s="129">
        <v>8.0</v>
      </c>
      <c r="C14" s="148"/>
      <c r="D14" s="148"/>
      <c r="E14" s="148"/>
      <c r="F14" s="142"/>
      <c r="G14" s="142"/>
      <c r="H14" s="142"/>
      <c r="I14" s="147"/>
      <c r="J14" s="147"/>
      <c r="K14" s="142"/>
      <c r="L14" s="142"/>
      <c r="M14" s="143"/>
      <c r="N14" s="14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28">
        <v>1.0</v>
      </c>
      <c r="B15" s="129">
        <v>9.0</v>
      </c>
      <c r="C15" s="150"/>
      <c r="D15" s="150"/>
      <c r="E15" s="150"/>
      <c r="F15" s="142"/>
      <c r="G15" s="142"/>
      <c r="H15" s="142"/>
      <c r="I15" s="142"/>
      <c r="J15" s="142"/>
      <c r="K15" s="142"/>
      <c r="L15" s="142"/>
      <c r="M15" s="143"/>
      <c r="N15" s="14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28">
        <v>1.0</v>
      </c>
      <c r="B16" s="129">
        <v>10.0</v>
      </c>
      <c r="C16" s="148"/>
      <c r="D16" s="148"/>
      <c r="E16" s="148"/>
      <c r="F16" s="142"/>
      <c r="G16" s="142"/>
      <c r="H16" s="142"/>
      <c r="I16" s="142"/>
      <c r="J16" s="142"/>
      <c r="K16" s="142"/>
      <c r="L16" s="142"/>
      <c r="M16" s="143"/>
      <c r="N16" s="1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28">
        <v>1.0</v>
      </c>
      <c r="B17" s="129">
        <v>11.0</v>
      </c>
      <c r="C17" s="150"/>
      <c r="D17" s="150"/>
      <c r="E17" s="150"/>
      <c r="F17" s="142"/>
      <c r="G17" s="142"/>
      <c r="H17" s="142"/>
      <c r="I17" s="142"/>
      <c r="J17" s="142"/>
      <c r="K17" s="142"/>
      <c r="L17" s="142"/>
      <c r="M17" s="143"/>
      <c r="N17" s="1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28">
        <v>1.0</v>
      </c>
      <c r="B18" s="129">
        <v>12.0</v>
      </c>
      <c r="C18" s="148"/>
      <c r="D18" s="148"/>
      <c r="E18" s="148"/>
      <c r="F18" s="142"/>
      <c r="G18" s="142"/>
      <c r="H18" s="142"/>
      <c r="I18" s="142"/>
      <c r="J18" s="142"/>
      <c r="K18" s="142"/>
      <c r="L18" s="142"/>
      <c r="M18" s="143"/>
      <c r="N18" s="14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28">
        <v>1.0</v>
      </c>
      <c r="B19" s="129">
        <v>13.0</v>
      </c>
      <c r="C19" s="150"/>
      <c r="D19" s="150"/>
      <c r="E19" s="150"/>
      <c r="F19" s="142"/>
      <c r="G19" s="142"/>
      <c r="H19" s="142"/>
      <c r="I19" s="142"/>
      <c r="J19" s="142"/>
      <c r="K19" s="142"/>
      <c r="L19" s="142"/>
      <c r="M19" s="143"/>
      <c r="N19" s="14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28">
        <v>1.0</v>
      </c>
      <c r="B20" s="129">
        <v>14.0</v>
      </c>
      <c r="C20" s="148"/>
      <c r="D20" s="148"/>
      <c r="E20" s="148"/>
      <c r="F20" s="142"/>
      <c r="G20" s="142"/>
      <c r="H20" s="142"/>
      <c r="I20" s="142"/>
      <c r="J20" s="142"/>
      <c r="K20" s="142"/>
      <c r="L20" s="142"/>
      <c r="M20" s="143"/>
      <c r="N20" s="1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28">
        <v>1.0</v>
      </c>
      <c r="B21" s="129">
        <v>15.0</v>
      </c>
      <c r="C21" s="150"/>
      <c r="D21" s="150"/>
      <c r="E21" s="150"/>
      <c r="F21" s="142"/>
      <c r="G21" s="142"/>
      <c r="H21" s="142"/>
      <c r="I21" s="142"/>
      <c r="J21" s="142"/>
      <c r="K21" s="142"/>
      <c r="L21" s="142"/>
      <c r="M21" s="143"/>
      <c r="N21" s="14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28">
        <v>1.0</v>
      </c>
      <c r="B22" s="129">
        <v>16.0</v>
      </c>
      <c r="C22" s="148"/>
      <c r="D22" s="148"/>
      <c r="E22" s="148"/>
      <c r="F22" s="142"/>
      <c r="G22" s="142"/>
      <c r="H22" s="142"/>
      <c r="I22" s="142"/>
      <c r="J22" s="142"/>
      <c r="K22" s="142"/>
      <c r="L22" s="142"/>
      <c r="M22" s="143"/>
      <c r="N22" s="14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28">
        <v>1.0</v>
      </c>
      <c r="B23" s="129">
        <v>17.0</v>
      </c>
      <c r="C23" s="150"/>
      <c r="D23" s="150"/>
      <c r="E23" s="150"/>
      <c r="F23" s="142"/>
      <c r="G23" s="142"/>
      <c r="H23" s="142"/>
      <c r="I23" s="142"/>
      <c r="J23" s="142"/>
      <c r="K23" s="142"/>
      <c r="L23" s="142"/>
      <c r="M23" s="143"/>
      <c r="N23" s="14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28">
        <v>1.0</v>
      </c>
      <c r="B24" s="129">
        <v>18.0</v>
      </c>
      <c r="C24" s="148"/>
      <c r="D24" s="148"/>
      <c r="E24" s="148"/>
      <c r="F24" s="142"/>
      <c r="G24" s="142"/>
      <c r="H24" s="142"/>
      <c r="I24" s="142"/>
      <c r="J24" s="142"/>
      <c r="K24" s="142"/>
      <c r="L24" s="142"/>
      <c r="M24" s="143"/>
      <c r="N24" s="14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28">
        <v>1.0</v>
      </c>
      <c r="B25" s="129">
        <v>19.0</v>
      </c>
      <c r="C25" s="150"/>
      <c r="D25" s="150"/>
      <c r="E25" s="150"/>
      <c r="F25" s="142"/>
      <c r="G25" s="142"/>
      <c r="H25" s="142"/>
      <c r="I25" s="142"/>
      <c r="J25" s="142"/>
      <c r="K25" s="142"/>
      <c r="L25" s="142"/>
      <c r="M25" s="143"/>
      <c r="N25" s="14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28">
        <v>1.0</v>
      </c>
      <c r="B26" s="129">
        <v>20.0</v>
      </c>
      <c r="C26" s="148"/>
      <c r="D26" s="148"/>
      <c r="E26" s="148"/>
      <c r="F26" s="142"/>
      <c r="G26" s="142"/>
      <c r="H26" s="142"/>
      <c r="I26" s="142"/>
      <c r="J26" s="142"/>
      <c r="K26" s="142"/>
      <c r="L26" s="142"/>
      <c r="M26" s="143"/>
      <c r="N26" s="14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28">
        <v>1.0</v>
      </c>
      <c r="B27" s="129">
        <v>21.0</v>
      </c>
      <c r="C27" s="150"/>
      <c r="D27" s="150"/>
      <c r="E27" s="150"/>
      <c r="F27" s="141"/>
      <c r="G27" s="141"/>
      <c r="H27" s="141"/>
      <c r="I27" s="147"/>
      <c r="J27" s="147"/>
      <c r="K27" s="151"/>
      <c r="L27" s="137"/>
      <c r="M27" s="150"/>
      <c r="N27" s="15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28">
        <v>1.0</v>
      </c>
      <c r="B28" s="129">
        <v>22.0</v>
      </c>
      <c r="C28" s="148"/>
      <c r="D28" s="148"/>
      <c r="E28" s="148"/>
      <c r="F28" s="141"/>
      <c r="G28" s="141"/>
      <c r="H28" s="141"/>
      <c r="I28" s="147"/>
      <c r="J28" s="147"/>
      <c r="K28" s="142"/>
      <c r="L28" s="142"/>
      <c r="M28" s="143"/>
      <c r="N28" s="14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28">
        <v>1.0</v>
      </c>
      <c r="B29" s="129">
        <v>23.0</v>
      </c>
      <c r="C29" s="150"/>
      <c r="D29" s="150"/>
      <c r="E29" s="150"/>
      <c r="F29" s="141"/>
      <c r="G29" s="141"/>
      <c r="H29" s="141"/>
      <c r="I29" s="147"/>
      <c r="J29" s="147"/>
      <c r="K29" s="142"/>
      <c r="L29" s="142"/>
      <c r="M29" s="143"/>
      <c r="N29" s="14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28">
        <v>1.0</v>
      </c>
      <c r="B30" s="129">
        <v>24.0</v>
      </c>
      <c r="C30" s="148"/>
      <c r="D30" s="148"/>
      <c r="E30" s="148"/>
      <c r="F30" s="141"/>
      <c r="G30" s="141"/>
      <c r="H30" s="141"/>
      <c r="I30" s="147"/>
      <c r="J30" s="147"/>
      <c r="K30" s="142"/>
      <c r="L30" s="142"/>
      <c r="M30" s="143"/>
      <c r="N30" s="14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28">
        <v>1.0</v>
      </c>
      <c r="B31" s="129">
        <v>25.0</v>
      </c>
      <c r="C31" s="150"/>
      <c r="D31" s="150"/>
      <c r="E31" s="150"/>
      <c r="F31" s="141"/>
      <c r="G31" s="141"/>
      <c r="H31" s="141"/>
      <c r="I31" s="147"/>
      <c r="J31" s="147"/>
      <c r="K31" s="142"/>
      <c r="L31" s="142"/>
      <c r="M31" s="143"/>
      <c r="N31" s="14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28">
        <v>1.0</v>
      </c>
      <c r="B32" s="129">
        <v>26.0</v>
      </c>
      <c r="C32" s="148"/>
      <c r="D32" s="148"/>
      <c r="E32" s="148"/>
      <c r="F32" s="142"/>
      <c r="G32" s="142"/>
      <c r="H32" s="142"/>
      <c r="I32" s="147"/>
      <c r="J32" s="147"/>
      <c r="K32" s="142"/>
      <c r="L32" s="142"/>
      <c r="M32" s="143"/>
      <c r="N32" s="14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28">
        <v>1.0</v>
      </c>
      <c r="B33" s="129">
        <v>27.0</v>
      </c>
      <c r="C33" s="150"/>
      <c r="D33" s="150"/>
      <c r="E33" s="150"/>
      <c r="F33" s="142"/>
      <c r="G33" s="142"/>
      <c r="H33" s="142"/>
      <c r="I33" s="147"/>
      <c r="J33" s="147"/>
      <c r="K33" s="142"/>
      <c r="L33" s="142"/>
      <c r="M33" s="143"/>
      <c r="N33" s="14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28">
        <v>1.0</v>
      </c>
      <c r="B34" s="129">
        <v>28.0</v>
      </c>
      <c r="C34" s="148"/>
      <c r="D34" s="148"/>
      <c r="E34" s="148"/>
      <c r="F34" s="142"/>
      <c r="G34" s="142"/>
      <c r="H34" s="142"/>
      <c r="I34" s="147"/>
      <c r="J34" s="147"/>
      <c r="K34" s="142"/>
      <c r="L34" s="142"/>
      <c r="M34" s="143"/>
      <c r="N34" s="14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28">
        <v>1.0</v>
      </c>
      <c r="B35" s="129">
        <v>29.0</v>
      </c>
      <c r="C35" s="150"/>
      <c r="D35" s="150"/>
      <c r="E35" s="150"/>
      <c r="F35" s="142"/>
      <c r="G35" s="142"/>
      <c r="H35" s="142"/>
      <c r="I35" s="142"/>
      <c r="J35" s="142"/>
      <c r="K35" s="142"/>
      <c r="L35" s="142"/>
      <c r="M35" s="143"/>
      <c r="N35" s="14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28">
        <v>1.0</v>
      </c>
      <c r="B36" s="129">
        <v>30.0</v>
      </c>
      <c r="C36" s="148"/>
      <c r="D36" s="148"/>
      <c r="E36" s="148"/>
      <c r="F36" s="142"/>
      <c r="G36" s="142"/>
      <c r="H36" s="142"/>
      <c r="I36" s="142"/>
      <c r="J36" s="142"/>
      <c r="K36" s="142"/>
      <c r="L36" s="142"/>
      <c r="M36" s="143"/>
      <c r="N36" s="14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55">
        <v>2.0</v>
      </c>
      <c r="B37" s="156">
        <v>11.0</v>
      </c>
      <c r="C37" s="150"/>
      <c r="D37" s="150"/>
      <c r="E37" s="150"/>
      <c r="F37" s="142"/>
      <c r="G37" s="142"/>
      <c r="H37" s="142"/>
      <c r="I37" s="142"/>
      <c r="J37" s="142"/>
      <c r="K37" s="142"/>
      <c r="L37" s="142"/>
      <c r="M37" s="143"/>
      <c r="N37" s="14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55">
        <v>2.0</v>
      </c>
      <c r="B38" s="156">
        <v>12.0</v>
      </c>
      <c r="C38" s="148"/>
      <c r="D38" s="148"/>
      <c r="E38" s="148"/>
      <c r="F38" s="142"/>
      <c r="G38" s="142"/>
      <c r="H38" s="142"/>
      <c r="I38" s="142"/>
      <c r="J38" s="142"/>
      <c r="K38" s="142"/>
      <c r="L38" s="142"/>
      <c r="M38" s="143"/>
      <c r="N38" s="14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55">
        <v>2.0</v>
      </c>
      <c r="B39" s="156">
        <v>13.0</v>
      </c>
      <c r="C39" s="150"/>
      <c r="D39" s="150"/>
      <c r="E39" s="150"/>
      <c r="F39" s="142"/>
      <c r="G39" s="142"/>
      <c r="H39" s="142"/>
      <c r="I39" s="142"/>
      <c r="J39" s="142"/>
      <c r="K39" s="142"/>
      <c r="L39" s="142"/>
      <c r="M39" s="143"/>
      <c r="N39" s="14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55">
        <v>2.0</v>
      </c>
      <c r="B40" s="156">
        <v>14.0</v>
      </c>
      <c r="C40" s="148"/>
      <c r="D40" s="148"/>
      <c r="E40" s="148"/>
      <c r="F40" s="142"/>
      <c r="G40" s="142"/>
      <c r="H40" s="142"/>
      <c r="I40" s="142"/>
      <c r="J40" s="142"/>
      <c r="K40" s="142"/>
      <c r="L40" s="142"/>
      <c r="M40" s="143"/>
      <c r="N40" s="14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55">
        <v>2.0</v>
      </c>
      <c r="B41" s="156">
        <v>15.0</v>
      </c>
      <c r="C41" s="150"/>
      <c r="D41" s="150"/>
      <c r="E41" s="150"/>
      <c r="F41" s="142"/>
      <c r="G41" s="142"/>
      <c r="H41" s="142"/>
      <c r="I41" s="142"/>
      <c r="J41" s="142"/>
      <c r="K41" s="142"/>
      <c r="L41" s="142"/>
      <c r="M41" s="143"/>
      <c r="N41" s="14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55">
        <v>2.0</v>
      </c>
      <c r="B42" s="156">
        <v>16.0</v>
      </c>
      <c r="C42" s="148"/>
      <c r="D42" s="148"/>
      <c r="E42" s="148"/>
      <c r="F42" s="142"/>
      <c r="G42" s="142"/>
      <c r="H42" s="142"/>
      <c r="I42" s="142"/>
      <c r="J42" s="142"/>
      <c r="K42" s="142"/>
      <c r="L42" s="142"/>
      <c r="M42" s="143"/>
      <c r="N42" s="14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55">
        <v>2.0</v>
      </c>
      <c r="B43" s="156">
        <v>17.0</v>
      </c>
      <c r="C43" s="150"/>
      <c r="D43" s="150"/>
      <c r="E43" s="150"/>
      <c r="F43" s="142"/>
      <c r="G43" s="142"/>
      <c r="H43" s="142"/>
      <c r="I43" s="142"/>
      <c r="J43" s="142"/>
      <c r="K43" s="142"/>
      <c r="L43" s="142"/>
      <c r="M43" s="143"/>
      <c r="N43" s="14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55">
        <v>2.0</v>
      </c>
      <c r="B44" s="156">
        <v>18.0</v>
      </c>
      <c r="C44" s="148"/>
      <c r="D44" s="148"/>
      <c r="E44" s="148"/>
      <c r="F44" s="142"/>
      <c r="G44" s="142"/>
      <c r="H44" s="142"/>
      <c r="I44" s="142"/>
      <c r="J44" s="142"/>
      <c r="K44" s="142"/>
      <c r="L44" s="142"/>
      <c r="M44" s="143"/>
      <c r="N44" s="14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55">
        <v>2.0</v>
      </c>
      <c r="B45" s="156">
        <v>19.0</v>
      </c>
      <c r="C45" s="150"/>
      <c r="D45" s="150"/>
      <c r="E45" s="150"/>
      <c r="F45" s="142"/>
      <c r="G45" s="142"/>
      <c r="H45" s="142"/>
      <c r="I45" s="142"/>
      <c r="J45" s="142"/>
      <c r="K45" s="142"/>
      <c r="L45" s="142"/>
      <c r="M45" s="143"/>
      <c r="N45" s="14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55">
        <v>2.0</v>
      </c>
      <c r="B46" s="156">
        <v>20.0</v>
      </c>
      <c r="C46" s="148"/>
      <c r="D46" s="148"/>
      <c r="E46" s="148"/>
      <c r="F46" s="142"/>
      <c r="G46" s="142"/>
      <c r="H46" s="142"/>
      <c r="I46" s="142"/>
      <c r="J46" s="142"/>
      <c r="K46" s="142"/>
      <c r="L46" s="142"/>
      <c r="M46" s="143"/>
      <c r="N46" s="14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28">
        <v>3.0</v>
      </c>
      <c r="B47" s="129">
        <v>1.0</v>
      </c>
      <c r="C47" s="130" t="s">
        <v>54</v>
      </c>
      <c r="D47" s="131">
        <v>1000.0</v>
      </c>
      <c r="E47" s="130" t="s">
        <v>38</v>
      </c>
      <c r="F47" s="132" t="s">
        <v>176</v>
      </c>
      <c r="G47" s="133">
        <v>2.0</v>
      </c>
      <c r="H47" s="133">
        <v>1000.0</v>
      </c>
      <c r="I47" s="134" t="s">
        <v>177</v>
      </c>
      <c r="J47" s="147"/>
      <c r="K47" s="136">
        <v>0.6</v>
      </c>
      <c r="L47" s="161">
        <v>12.0</v>
      </c>
      <c r="M47" s="130" t="s">
        <v>178</v>
      </c>
      <c r="N47" s="138">
        <v>46104.548918506945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28">
        <v>3.0</v>
      </c>
      <c r="B48" s="129">
        <v>2.0</v>
      </c>
      <c r="C48" s="139" t="s">
        <v>179</v>
      </c>
      <c r="D48" s="140">
        <v>5.0</v>
      </c>
      <c r="E48" s="139" t="s">
        <v>9</v>
      </c>
      <c r="F48" s="141"/>
      <c r="G48" s="141"/>
      <c r="H48" s="141"/>
      <c r="I48" s="147"/>
      <c r="J48" s="147"/>
      <c r="K48" s="142"/>
      <c r="L48" s="142"/>
      <c r="M48" s="143"/>
      <c r="N48" s="14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28">
        <v>3.0</v>
      </c>
      <c r="B49" s="129">
        <v>3.0</v>
      </c>
      <c r="C49" s="130" t="s">
        <v>20</v>
      </c>
      <c r="D49" s="131">
        <v>400.0</v>
      </c>
      <c r="E49" s="130" t="s">
        <v>16</v>
      </c>
      <c r="F49" s="141"/>
      <c r="G49" s="141"/>
      <c r="H49" s="141"/>
      <c r="I49" s="147"/>
      <c r="J49" s="147"/>
      <c r="K49" s="142"/>
      <c r="L49" s="142"/>
      <c r="M49" s="143"/>
      <c r="N49" s="14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28">
        <v>3.0</v>
      </c>
      <c r="B50" s="129">
        <v>4.0</v>
      </c>
      <c r="C50" s="148"/>
      <c r="D50" s="148"/>
      <c r="E50" s="148"/>
      <c r="F50" s="141"/>
      <c r="G50" s="141"/>
      <c r="H50" s="141"/>
      <c r="I50" s="147"/>
      <c r="J50" s="147"/>
      <c r="K50" s="142"/>
      <c r="L50" s="142"/>
      <c r="M50" s="143"/>
      <c r="N50" s="14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28">
        <v>3.0</v>
      </c>
      <c r="B51" s="129">
        <v>5.0</v>
      </c>
      <c r="C51" s="150"/>
      <c r="D51" s="150"/>
      <c r="E51" s="150"/>
      <c r="F51" s="141"/>
      <c r="G51" s="141"/>
      <c r="H51" s="141"/>
      <c r="I51" s="147"/>
      <c r="J51" s="147"/>
      <c r="K51" s="142"/>
      <c r="L51" s="142"/>
      <c r="M51" s="143"/>
      <c r="N51" s="14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28">
        <v>3.0</v>
      </c>
      <c r="B52" s="129">
        <v>6.0</v>
      </c>
      <c r="C52" s="148"/>
      <c r="D52" s="148"/>
      <c r="E52" s="148"/>
      <c r="F52" s="142"/>
      <c r="G52" s="142"/>
      <c r="H52" s="142"/>
      <c r="I52" s="147"/>
      <c r="J52" s="147"/>
      <c r="K52" s="142"/>
      <c r="L52" s="142"/>
      <c r="M52" s="143"/>
      <c r="N52" s="14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28">
        <v>3.0</v>
      </c>
      <c r="B53" s="129">
        <v>7.0</v>
      </c>
      <c r="C53" s="150"/>
      <c r="D53" s="150"/>
      <c r="E53" s="150"/>
      <c r="F53" s="142"/>
      <c r="G53" s="142"/>
      <c r="H53" s="142"/>
      <c r="I53" s="147"/>
      <c r="J53" s="147"/>
      <c r="K53" s="142"/>
      <c r="L53" s="142"/>
      <c r="M53" s="143"/>
      <c r="N53" s="14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28">
        <v>3.0</v>
      </c>
      <c r="B54" s="129">
        <v>8.0</v>
      </c>
      <c r="C54" s="148"/>
      <c r="D54" s="148"/>
      <c r="E54" s="148"/>
      <c r="F54" s="142"/>
      <c r="G54" s="142"/>
      <c r="H54" s="142"/>
      <c r="I54" s="147"/>
      <c r="J54" s="147"/>
      <c r="K54" s="142"/>
      <c r="L54" s="142"/>
      <c r="M54" s="143"/>
      <c r="N54" s="14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28">
        <v>3.0</v>
      </c>
      <c r="B55" s="129">
        <v>9.0</v>
      </c>
      <c r="C55" s="150"/>
      <c r="D55" s="150"/>
      <c r="E55" s="150"/>
      <c r="F55" s="142"/>
      <c r="G55" s="142"/>
      <c r="H55" s="142"/>
      <c r="I55" s="142"/>
      <c r="J55" s="142"/>
      <c r="K55" s="142"/>
      <c r="L55" s="142"/>
      <c r="M55" s="143"/>
      <c r="N55" s="14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28">
        <v>3.0</v>
      </c>
      <c r="B56" s="129">
        <v>10.0</v>
      </c>
      <c r="C56" s="148"/>
      <c r="D56" s="148"/>
      <c r="E56" s="148"/>
      <c r="F56" s="142"/>
      <c r="G56" s="142"/>
      <c r="H56" s="142"/>
      <c r="I56" s="142"/>
      <c r="J56" s="142"/>
      <c r="K56" s="142"/>
      <c r="L56" s="142"/>
      <c r="M56" s="143"/>
      <c r="N56" s="14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28">
        <v>3.0</v>
      </c>
      <c r="B57" s="129">
        <v>11.0</v>
      </c>
      <c r="C57" s="150"/>
      <c r="D57" s="150"/>
      <c r="E57" s="150"/>
      <c r="F57" s="142"/>
      <c r="G57" s="142"/>
      <c r="H57" s="142"/>
      <c r="I57" s="142"/>
      <c r="J57" s="142"/>
      <c r="K57" s="142"/>
      <c r="L57" s="142"/>
      <c r="M57" s="143"/>
      <c r="N57" s="14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28">
        <v>3.0</v>
      </c>
      <c r="B58" s="129">
        <v>12.0</v>
      </c>
      <c r="C58" s="148"/>
      <c r="D58" s="148"/>
      <c r="E58" s="148"/>
      <c r="F58" s="142"/>
      <c r="G58" s="142"/>
      <c r="H58" s="142"/>
      <c r="I58" s="142"/>
      <c r="J58" s="142"/>
      <c r="K58" s="142"/>
      <c r="L58" s="142"/>
      <c r="M58" s="143"/>
      <c r="N58" s="14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28">
        <v>3.0</v>
      </c>
      <c r="B59" s="129">
        <v>13.0</v>
      </c>
      <c r="C59" s="150"/>
      <c r="D59" s="150"/>
      <c r="E59" s="150"/>
      <c r="F59" s="142"/>
      <c r="G59" s="142"/>
      <c r="H59" s="142"/>
      <c r="I59" s="142"/>
      <c r="J59" s="142"/>
      <c r="K59" s="142"/>
      <c r="L59" s="142"/>
      <c r="M59" s="143"/>
      <c r="N59" s="14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28">
        <v>3.0</v>
      </c>
      <c r="B60" s="129">
        <v>14.0</v>
      </c>
      <c r="C60" s="148"/>
      <c r="D60" s="148"/>
      <c r="E60" s="148"/>
      <c r="F60" s="142"/>
      <c r="G60" s="142"/>
      <c r="H60" s="142"/>
      <c r="I60" s="142"/>
      <c r="J60" s="142"/>
      <c r="K60" s="142"/>
      <c r="L60" s="142"/>
      <c r="M60" s="143"/>
      <c r="N60" s="14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28">
        <v>3.0</v>
      </c>
      <c r="B61" s="129">
        <v>15.0</v>
      </c>
      <c r="C61" s="150"/>
      <c r="D61" s="150"/>
      <c r="E61" s="150"/>
      <c r="F61" s="142"/>
      <c r="G61" s="142"/>
      <c r="H61" s="142"/>
      <c r="I61" s="142"/>
      <c r="J61" s="142"/>
      <c r="K61" s="142"/>
      <c r="L61" s="142"/>
      <c r="M61" s="143"/>
      <c r="N61" s="14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28">
        <v>3.0</v>
      </c>
      <c r="B62" s="129">
        <v>16.0</v>
      </c>
      <c r="C62" s="148"/>
      <c r="D62" s="148"/>
      <c r="E62" s="148"/>
      <c r="F62" s="142"/>
      <c r="G62" s="142"/>
      <c r="H62" s="142"/>
      <c r="I62" s="142"/>
      <c r="J62" s="142"/>
      <c r="K62" s="142"/>
      <c r="L62" s="142"/>
      <c r="M62" s="143"/>
      <c r="N62" s="14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28">
        <v>3.0</v>
      </c>
      <c r="B63" s="129">
        <v>17.0</v>
      </c>
      <c r="C63" s="150"/>
      <c r="D63" s="150"/>
      <c r="E63" s="150"/>
      <c r="F63" s="142"/>
      <c r="G63" s="142"/>
      <c r="H63" s="142"/>
      <c r="I63" s="142"/>
      <c r="J63" s="142"/>
      <c r="K63" s="142"/>
      <c r="L63" s="142"/>
      <c r="M63" s="143"/>
      <c r="N63" s="14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28">
        <v>3.0</v>
      </c>
      <c r="B64" s="129">
        <v>18.0</v>
      </c>
      <c r="C64" s="148"/>
      <c r="D64" s="148"/>
      <c r="E64" s="148"/>
      <c r="F64" s="142"/>
      <c r="G64" s="142"/>
      <c r="H64" s="142"/>
      <c r="I64" s="142"/>
      <c r="J64" s="142"/>
      <c r="K64" s="142"/>
      <c r="L64" s="142"/>
      <c r="M64" s="143"/>
      <c r="N64" s="14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28">
        <v>3.0</v>
      </c>
      <c r="B65" s="129">
        <v>19.0</v>
      </c>
      <c r="C65" s="150"/>
      <c r="D65" s="150"/>
      <c r="E65" s="150"/>
      <c r="F65" s="142"/>
      <c r="G65" s="142"/>
      <c r="H65" s="142"/>
      <c r="I65" s="142"/>
      <c r="J65" s="142"/>
      <c r="K65" s="142"/>
      <c r="L65" s="142"/>
      <c r="M65" s="143"/>
      <c r="N65" s="14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28">
        <v>3.0</v>
      </c>
      <c r="B66" s="129">
        <v>20.0</v>
      </c>
      <c r="C66" s="148"/>
      <c r="D66" s="148"/>
      <c r="E66" s="148"/>
      <c r="F66" s="142"/>
      <c r="G66" s="142"/>
      <c r="H66" s="142"/>
      <c r="I66" s="142"/>
      <c r="J66" s="142"/>
      <c r="K66" s="142"/>
      <c r="L66" s="142"/>
      <c r="M66" s="143"/>
      <c r="N66" s="14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28">
        <v>4.0</v>
      </c>
      <c r="B67" s="129">
        <v>1.0</v>
      </c>
      <c r="C67" s="130" t="s">
        <v>54</v>
      </c>
      <c r="D67" s="131">
        <v>600.0</v>
      </c>
      <c r="E67" s="130" t="s">
        <v>38</v>
      </c>
      <c r="F67" s="132" t="s">
        <v>176</v>
      </c>
      <c r="G67" s="133">
        <v>0.0</v>
      </c>
      <c r="H67" s="133">
        <v>1000.0</v>
      </c>
      <c r="I67" s="134" t="s">
        <v>190</v>
      </c>
      <c r="J67" s="135">
        <v>700.0</v>
      </c>
      <c r="K67" s="136">
        <v>1.5</v>
      </c>
      <c r="L67" s="161">
        <v>2.0</v>
      </c>
      <c r="M67" s="130" t="s">
        <v>191</v>
      </c>
      <c r="N67" s="138">
        <v>46104.583338993056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28">
        <v>4.0</v>
      </c>
      <c r="B68" s="129">
        <v>2.0</v>
      </c>
      <c r="C68" s="139" t="s">
        <v>179</v>
      </c>
      <c r="D68" s="140">
        <v>6.0</v>
      </c>
      <c r="E68" s="139" t="s">
        <v>9</v>
      </c>
      <c r="F68" s="141"/>
      <c r="G68" s="141"/>
      <c r="H68" s="141"/>
      <c r="I68" s="134" t="s">
        <v>186</v>
      </c>
      <c r="J68" s="135">
        <v>2500.0</v>
      </c>
      <c r="K68" s="142"/>
      <c r="L68" s="142"/>
      <c r="M68" s="143"/>
      <c r="N68" s="14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28">
        <v>4.0</v>
      </c>
      <c r="B69" s="129">
        <v>3.0</v>
      </c>
      <c r="C69" s="130" t="s">
        <v>20</v>
      </c>
      <c r="D69" s="131">
        <v>400.0</v>
      </c>
      <c r="E69" s="130" t="s">
        <v>16</v>
      </c>
      <c r="F69" s="141"/>
      <c r="G69" s="141"/>
      <c r="H69" s="141"/>
      <c r="I69" s="147"/>
      <c r="J69" s="147"/>
      <c r="K69" s="142"/>
      <c r="L69" s="142"/>
      <c r="M69" s="143"/>
      <c r="N69" s="14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28">
        <v>4.0</v>
      </c>
      <c r="B70" s="129">
        <v>4.0</v>
      </c>
      <c r="C70" s="139" t="s">
        <v>14</v>
      </c>
      <c r="D70" s="140">
        <v>630.0</v>
      </c>
      <c r="E70" s="139" t="s">
        <v>16</v>
      </c>
      <c r="F70" s="141"/>
      <c r="G70" s="141"/>
      <c r="H70" s="141"/>
      <c r="I70" s="147"/>
      <c r="J70" s="147"/>
      <c r="K70" s="142"/>
      <c r="L70" s="142"/>
      <c r="M70" s="143"/>
      <c r="N70" s="14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28">
        <v>4.0</v>
      </c>
      <c r="B71" s="129">
        <v>5.0</v>
      </c>
      <c r="C71" s="130" t="s">
        <v>113</v>
      </c>
      <c r="D71" s="131">
        <v>36.0</v>
      </c>
      <c r="E71" s="130" t="s">
        <v>16</v>
      </c>
      <c r="F71" s="141"/>
      <c r="G71" s="141"/>
      <c r="H71" s="141"/>
      <c r="I71" s="147"/>
      <c r="J71" s="147"/>
      <c r="K71" s="142"/>
      <c r="L71" s="142"/>
      <c r="M71" s="143"/>
      <c r="N71" s="14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28">
        <v>4.0</v>
      </c>
      <c r="B72" s="129">
        <v>6.0</v>
      </c>
      <c r="C72" s="139" t="s">
        <v>196</v>
      </c>
      <c r="D72" s="140">
        <v>100.0</v>
      </c>
      <c r="E72" s="139" t="s">
        <v>16</v>
      </c>
      <c r="F72" s="142"/>
      <c r="G72" s="142"/>
      <c r="H72" s="142"/>
      <c r="I72" s="147"/>
      <c r="J72" s="147"/>
      <c r="K72" s="142"/>
      <c r="L72" s="142"/>
      <c r="M72" s="143"/>
      <c r="N72" s="14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28">
        <v>4.0</v>
      </c>
      <c r="B73" s="129">
        <v>7.0</v>
      </c>
      <c r="C73" s="130" t="s">
        <v>96</v>
      </c>
      <c r="D73" s="131">
        <v>30.0</v>
      </c>
      <c r="E73" s="130" t="s">
        <v>16</v>
      </c>
      <c r="F73" s="142"/>
      <c r="G73" s="142"/>
      <c r="H73" s="142"/>
      <c r="I73" s="147"/>
      <c r="J73" s="147"/>
      <c r="K73" s="142"/>
      <c r="L73" s="142"/>
      <c r="M73" s="143"/>
      <c r="N73" s="14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28">
        <v>4.0</v>
      </c>
      <c r="B74" s="129">
        <v>8.0</v>
      </c>
      <c r="C74" s="139" t="s">
        <v>50</v>
      </c>
      <c r="D74" s="140">
        <v>10.0</v>
      </c>
      <c r="E74" s="139" t="s">
        <v>38</v>
      </c>
      <c r="F74" s="142"/>
      <c r="G74" s="142"/>
      <c r="H74" s="142"/>
      <c r="I74" s="147"/>
      <c r="J74" s="147"/>
      <c r="K74" s="142"/>
      <c r="L74" s="142"/>
      <c r="M74" s="143"/>
      <c r="N74" s="14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28">
        <v>4.0</v>
      </c>
      <c r="B75" s="129">
        <v>9.0</v>
      </c>
      <c r="C75" s="130" t="s">
        <v>200</v>
      </c>
      <c r="D75" s="131">
        <v>50.0</v>
      </c>
      <c r="E75" s="130" t="s">
        <v>16</v>
      </c>
      <c r="F75" s="142"/>
      <c r="G75" s="142"/>
      <c r="H75" s="142"/>
      <c r="I75" s="142"/>
      <c r="J75" s="142"/>
      <c r="K75" s="142"/>
      <c r="L75" s="142"/>
      <c r="M75" s="143"/>
      <c r="N75" s="14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28">
        <v>4.0</v>
      </c>
      <c r="B76" s="129">
        <v>10.0</v>
      </c>
      <c r="C76" s="139" t="s">
        <v>124</v>
      </c>
      <c r="D76" s="140">
        <v>50.0</v>
      </c>
      <c r="E76" s="139" t="s">
        <v>16</v>
      </c>
      <c r="F76" s="142"/>
      <c r="G76" s="142"/>
      <c r="H76" s="142"/>
      <c r="I76" s="142"/>
      <c r="J76" s="142"/>
      <c r="K76" s="142"/>
      <c r="L76" s="142"/>
      <c r="M76" s="143"/>
      <c r="N76" s="14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28">
        <v>4.0</v>
      </c>
      <c r="B77" s="129">
        <v>11.0</v>
      </c>
      <c r="C77" s="130" t="s">
        <v>125</v>
      </c>
      <c r="D77" s="131">
        <v>70.0</v>
      </c>
      <c r="E77" s="130" t="s">
        <v>16</v>
      </c>
      <c r="F77" s="142"/>
      <c r="G77" s="142"/>
      <c r="H77" s="142"/>
      <c r="I77" s="142"/>
      <c r="J77" s="142"/>
      <c r="K77" s="142"/>
      <c r="L77" s="142"/>
      <c r="M77" s="143"/>
      <c r="N77" s="14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28">
        <v>4.0</v>
      </c>
      <c r="B78" s="129">
        <v>12.0</v>
      </c>
      <c r="C78" s="148"/>
      <c r="D78" s="148"/>
      <c r="E78" s="148"/>
      <c r="F78" s="142"/>
      <c r="G78" s="142"/>
      <c r="H78" s="142"/>
      <c r="I78" s="142"/>
      <c r="J78" s="142"/>
      <c r="K78" s="142"/>
      <c r="L78" s="142"/>
      <c r="M78" s="143"/>
      <c r="N78" s="14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28">
        <v>4.0</v>
      </c>
      <c r="B79" s="129">
        <v>13.0</v>
      </c>
      <c r="C79" s="150"/>
      <c r="D79" s="150"/>
      <c r="E79" s="150"/>
      <c r="F79" s="142"/>
      <c r="G79" s="142"/>
      <c r="H79" s="142"/>
      <c r="I79" s="142"/>
      <c r="J79" s="142"/>
      <c r="K79" s="142"/>
      <c r="L79" s="142"/>
      <c r="M79" s="143"/>
      <c r="N79" s="14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28">
        <v>4.0</v>
      </c>
      <c r="B80" s="129">
        <v>14.0</v>
      </c>
      <c r="C80" s="148"/>
      <c r="D80" s="148"/>
      <c r="E80" s="148"/>
      <c r="F80" s="142"/>
      <c r="G80" s="142"/>
      <c r="H80" s="142"/>
      <c r="I80" s="142"/>
      <c r="J80" s="142"/>
      <c r="K80" s="142"/>
      <c r="L80" s="142"/>
      <c r="M80" s="143"/>
      <c r="N80" s="14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28">
        <v>4.0</v>
      </c>
      <c r="B81" s="129">
        <v>15.0</v>
      </c>
      <c r="C81" s="150"/>
      <c r="D81" s="150"/>
      <c r="E81" s="150"/>
      <c r="F81" s="142"/>
      <c r="G81" s="142"/>
      <c r="H81" s="142"/>
      <c r="I81" s="142"/>
      <c r="J81" s="142"/>
      <c r="K81" s="142"/>
      <c r="L81" s="142"/>
      <c r="M81" s="143"/>
      <c r="N81" s="14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28">
        <v>4.0</v>
      </c>
      <c r="B82" s="129">
        <v>16.0</v>
      </c>
      <c r="C82" s="148"/>
      <c r="D82" s="148"/>
      <c r="E82" s="148"/>
      <c r="F82" s="142"/>
      <c r="G82" s="142"/>
      <c r="H82" s="142"/>
      <c r="I82" s="142"/>
      <c r="J82" s="142"/>
      <c r="K82" s="142"/>
      <c r="L82" s="142"/>
      <c r="M82" s="143"/>
      <c r="N82" s="14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28">
        <v>4.0</v>
      </c>
      <c r="B83" s="129">
        <v>17.0</v>
      </c>
      <c r="C83" s="150"/>
      <c r="D83" s="150"/>
      <c r="E83" s="150"/>
      <c r="F83" s="142"/>
      <c r="G83" s="142"/>
      <c r="H83" s="142"/>
      <c r="I83" s="142"/>
      <c r="J83" s="142"/>
      <c r="K83" s="142"/>
      <c r="L83" s="142"/>
      <c r="M83" s="143"/>
      <c r="N83" s="14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28">
        <v>4.0</v>
      </c>
      <c r="B84" s="129">
        <v>18.0</v>
      </c>
      <c r="C84" s="148"/>
      <c r="D84" s="148"/>
      <c r="E84" s="148"/>
      <c r="F84" s="142"/>
      <c r="G84" s="142"/>
      <c r="H84" s="142"/>
      <c r="I84" s="142"/>
      <c r="J84" s="142"/>
      <c r="K84" s="142"/>
      <c r="L84" s="142"/>
      <c r="M84" s="143"/>
      <c r="N84" s="14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28">
        <v>4.0</v>
      </c>
      <c r="B85" s="129">
        <v>19.0</v>
      </c>
      <c r="C85" s="150"/>
      <c r="D85" s="150"/>
      <c r="E85" s="150"/>
      <c r="F85" s="142"/>
      <c r="G85" s="142"/>
      <c r="H85" s="142"/>
      <c r="I85" s="142"/>
      <c r="J85" s="142"/>
      <c r="K85" s="142"/>
      <c r="L85" s="142"/>
      <c r="M85" s="143"/>
      <c r="N85" s="14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28">
        <v>4.0</v>
      </c>
      <c r="B86" s="129">
        <v>20.0</v>
      </c>
      <c r="C86" s="148"/>
      <c r="D86" s="148"/>
      <c r="E86" s="148"/>
      <c r="F86" s="142"/>
      <c r="G86" s="142"/>
      <c r="H86" s="142"/>
      <c r="I86" s="142"/>
      <c r="J86" s="142"/>
      <c r="K86" s="142"/>
      <c r="L86" s="142"/>
      <c r="M86" s="143"/>
      <c r="N86" s="14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28">
        <v>5.0</v>
      </c>
      <c r="B87" s="129">
        <v>1.0</v>
      </c>
      <c r="C87" s="130" t="s">
        <v>54</v>
      </c>
      <c r="D87" s="131">
        <v>300.0</v>
      </c>
      <c r="E87" s="130" t="s">
        <v>38</v>
      </c>
      <c r="F87" s="132" t="s">
        <v>176</v>
      </c>
      <c r="G87" s="133">
        <v>0.0</v>
      </c>
      <c r="H87" s="133">
        <v>1000.0</v>
      </c>
      <c r="I87" s="134" t="s">
        <v>190</v>
      </c>
      <c r="J87" s="135">
        <v>350.0</v>
      </c>
      <c r="K87" s="136">
        <v>1.5</v>
      </c>
      <c r="L87" s="161">
        <v>1.0</v>
      </c>
      <c r="M87" s="130" t="s">
        <v>191</v>
      </c>
      <c r="N87" s="138">
        <v>46104.67985180556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28">
        <v>5.0</v>
      </c>
      <c r="B88" s="129">
        <v>2.0</v>
      </c>
      <c r="C88" s="139" t="s">
        <v>179</v>
      </c>
      <c r="D88" s="140">
        <v>3.0</v>
      </c>
      <c r="E88" s="139" t="s">
        <v>9</v>
      </c>
      <c r="F88" s="141"/>
      <c r="G88" s="141"/>
      <c r="H88" s="141"/>
      <c r="I88" s="134" t="s">
        <v>186</v>
      </c>
      <c r="J88" s="135">
        <v>1250.0</v>
      </c>
      <c r="K88" s="142"/>
      <c r="L88" s="142"/>
      <c r="M88" s="143"/>
      <c r="N88" s="14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28">
        <v>5.0</v>
      </c>
      <c r="B89" s="129">
        <v>3.0</v>
      </c>
      <c r="C89" s="130" t="s">
        <v>20</v>
      </c>
      <c r="D89" s="131">
        <v>200.0</v>
      </c>
      <c r="E89" s="130" t="s">
        <v>16</v>
      </c>
      <c r="F89" s="141"/>
      <c r="G89" s="141"/>
      <c r="H89" s="141"/>
      <c r="I89" s="147"/>
      <c r="J89" s="147"/>
      <c r="K89" s="142"/>
      <c r="L89" s="142"/>
      <c r="M89" s="143"/>
      <c r="N89" s="14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28">
        <v>5.0</v>
      </c>
      <c r="B90" s="129">
        <v>4.0</v>
      </c>
      <c r="C90" s="139" t="s">
        <v>14</v>
      </c>
      <c r="D90" s="140">
        <v>315.0</v>
      </c>
      <c r="E90" s="139" t="s">
        <v>16</v>
      </c>
      <c r="F90" s="141"/>
      <c r="G90" s="141"/>
      <c r="H90" s="141"/>
      <c r="I90" s="147"/>
      <c r="J90" s="147"/>
      <c r="K90" s="142"/>
      <c r="L90" s="142"/>
      <c r="M90" s="143"/>
      <c r="N90" s="14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28">
        <v>5.0</v>
      </c>
      <c r="B91" s="129">
        <v>5.0</v>
      </c>
      <c r="C91" s="130" t="s">
        <v>113</v>
      </c>
      <c r="D91" s="131">
        <v>18.0</v>
      </c>
      <c r="E91" s="130" t="s">
        <v>16</v>
      </c>
      <c r="F91" s="141"/>
      <c r="G91" s="141"/>
      <c r="H91" s="141"/>
      <c r="I91" s="147"/>
      <c r="J91" s="147"/>
      <c r="K91" s="142"/>
      <c r="L91" s="142"/>
      <c r="M91" s="143"/>
      <c r="N91" s="14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28">
        <v>5.0</v>
      </c>
      <c r="B92" s="129">
        <v>6.0</v>
      </c>
      <c r="C92" s="139" t="s">
        <v>196</v>
      </c>
      <c r="D92" s="140">
        <v>50.0</v>
      </c>
      <c r="E92" s="139" t="s">
        <v>16</v>
      </c>
      <c r="F92" s="142"/>
      <c r="G92" s="142"/>
      <c r="H92" s="142"/>
      <c r="I92" s="147"/>
      <c r="J92" s="147"/>
      <c r="K92" s="142"/>
      <c r="L92" s="142"/>
      <c r="M92" s="143"/>
      <c r="N92" s="14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28">
        <v>5.0</v>
      </c>
      <c r="B93" s="129">
        <v>7.0</v>
      </c>
      <c r="C93" s="130" t="s">
        <v>96</v>
      </c>
      <c r="D93" s="131">
        <v>15.0</v>
      </c>
      <c r="E93" s="130" t="s">
        <v>16</v>
      </c>
      <c r="F93" s="142"/>
      <c r="G93" s="142"/>
      <c r="H93" s="142"/>
      <c r="I93" s="147"/>
      <c r="J93" s="147"/>
      <c r="K93" s="142"/>
      <c r="L93" s="142"/>
      <c r="M93" s="143"/>
      <c r="N93" s="14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28">
        <v>5.0</v>
      </c>
      <c r="B94" s="129">
        <v>8.0</v>
      </c>
      <c r="C94" s="139" t="s">
        <v>50</v>
      </c>
      <c r="D94" s="140">
        <v>5.0</v>
      </c>
      <c r="E94" s="139" t="s">
        <v>38</v>
      </c>
      <c r="F94" s="142"/>
      <c r="G94" s="142"/>
      <c r="H94" s="142"/>
      <c r="I94" s="147"/>
      <c r="J94" s="147"/>
      <c r="K94" s="142"/>
      <c r="L94" s="142"/>
      <c r="M94" s="143"/>
      <c r="N94" s="14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28">
        <v>5.0</v>
      </c>
      <c r="B95" s="129">
        <v>9.0</v>
      </c>
      <c r="C95" s="130" t="s">
        <v>200</v>
      </c>
      <c r="D95" s="131">
        <v>25.0</v>
      </c>
      <c r="E95" s="130" t="s">
        <v>16</v>
      </c>
      <c r="F95" s="142"/>
      <c r="G95" s="142"/>
      <c r="H95" s="142"/>
      <c r="I95" s="142"/>
      <c r="J95" s="142"/>
      <c r="K95" s="142"/>
      <c r="L95" s="142"/>
      <c r="M95" s="143"/>
      <c r="N95" s="14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28">
        <v>5.0</v>
      </c>
      <c r="B96" s="129">
        <v>10.0</v>
      </c>
      <c r="C96" s="139" t="s">
        <v>124</v>
      </c>
      <c r="D96" s="140">
        <v>25.0</v>
      </c>
      <c r="E96" s="139" t="s">
        <v>16</v>
      </c>
      <c r="F96" s="142"/>
      <c r="G96" s="142"/>
      <c r="H96" s="142"/>
      <c r="I96" s="142"/>
      <c r="J96" s="142"/>
      <c r="K96" s="142"/>
      <c r="L96" s="142"/>
      <c r="M96" s="143"/>
      <c r="N96" s="14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28">
        <v>5.0</v>
      </c>
      <c r="B97" s="129">
        <v>11.0</v>
      </c>
      <c r="C97" s="130" t="s">
        <v>125</v>
      </c>
      <c r="D97" s="131">
        <v>35.0</v>
      </c>
      <c r="E97" s="130" t="s">
        <v>16</v>
      </c>
      <c r="F97" s="142"/>
      <c r="G97" s="142"/>
      <c r="H97" s="142"/>
      <c r="I97" s="142"/>
      <c r="J97" s="142"/>
      <c r="K97" s="142"/>
      <c r="L97" s="142"/>
      <c r="M97" s="143"/>
      <c r="N97" s="14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28">
        <v>5.0</v>
      </c>
      <c r="B98" s="129">
        <v>12.0</v>
      </c>
      <c r="C98" s="148"/>
      <c r="D98" s="148"/>
      <c r="E98" s="148"/>
      <c r="F98" s="142"/>
      <c r="G98" s="142"/>
      <c r="H98" s="142"/>
      <c r="I98" s="142"/>
      <c r="J98" s="142"/>
      <c r="K98" s="142"/>
      <c r="L98" s="142"/>
      <c r="M98" s="143"/>
      <c r="N98" s="14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28">
        <v>5.0</v>
      </c>
      <c r="B99" s="129">
        <v>13.0</v>
      </c>
      <c r="C99" s="150"/>
      <c r="D99" s="150"/>
      <c r="E99" s="150"/>
      <c r="F99" s="142"/>
      <c r="G99" s="142"/>
      <c r="H99" s="142"/>
      <c r="I99" s="142"/>
      <c r="J99" s="142"/>
      <c r="K99" s="142"/>
      <c r="L99" s="142"/>
      <c r="M99" s="143"/>
      <c r="N99" s="14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28">
        <v>5.0</v>
      </c>
      <c r="B100" s="129">
        <v>14.0</v>
      </c>
      <c r="C100" s="148"/>
      <c r="D100" s="148"/>
      <c r="E100" s="148"/>
      <c r="F100" s="142"/>
      <c r="G100" s="142"/>
      <c r="H100" s="142"/>
      <c r="I100" s="142"/>
      <c r="J100" s="142"/>
      <c r="K100" s="142"/>
      <c r="L100" s="142"/>
      <c r="M100" s="143"/>
      <c r="N100" s="14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28">
        <v>5.0</v>
      </c>
      <c r="B101" s="129">
        <v>15.0</v>
      </c>
      <c r="C101" s="150"/>
      <c r="D101" s="150"/>
      <c r="E101" s="150"/>
      <c r="F101" s="142"/>
      <c r="G101" s="142"/>
      <c r="H101" s="142"/>
      <c r="I101" s="142"/>
      <c r="J101" s="142"/>
      <c r="K101" s="142"/>
      <c r="L101" s="142"/>
      <c r="M101" s="143"/>
      <c r="N101" s="14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28">
        <v>5.0</v>
      </c>
      <c r="B102" s="129">
        <v>16.0</v>
      </c>
      <c r="C102" s="148"/>
      <c r="D102" s="148"/>
      <c r="E102" s="148"/>
      <c r="F102" s="142"/>
      <c r="G102" s="142"/>
      <c r="H102" s="142"/>
      <c r="I102" s="142"/>
      <c r="J102" s="142"/>
      <c r="K102" s="142"/>
      <c r="L102" s="142"/>
      <c r="M102" s="143"/>
      <c r="N102" s="14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28">
        <v>5.0</v>
      </c>
      <c r="B103" s="129">
        <v>17.0</v>
      </c>
      <c r="C103" s="150"/>
      <c r="D103" s="150"/>
      <c r="E103" s="150"/>
      <c r="F103" s="142"/>
      <c r="G103" s="142"/>
      <c r="H103" s="142"/>
      <c r="I103" s="142"/>
      <c r="J103" s="142"/>
      <c r="K103" s="142"/>
      <c r="L103" s="142"/>
      <c r="M103" s="143"/>
      <c r="N103" s="14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28">
        <v>5.0</v>
      </c>
      <c r="B104" s="129">
        <v>18.0</v>
      </c>
      <c r="C104" s="148"/>
      <c r="D104" s="148"/>
      <c r="E104" s="148"/>
      <c r="F104" s="142"/>
      <c r="G104" s="142"/>
      <c r="H104" s="142"/>
      <c r="I104" s="142"/>
      <c r="J104" s="142"/>
      <c r="K104" s="142"/>
      <c r="L104" s="142"/>
      <c r="M104" s="143"/>
      <c r="N104" s="14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28">
        <v>5.0</v>
      </c>
      <c r="B105" s="129">
        <v>19.0</v>
      </c>
      <c r="C105" s="150"/>
      <c r="D105" s="150"/>
      <c r="E105" s="150"/>
      <c r="F105" s="142"/>
      <c r="G105" s="142"/>
      <c r="H105" s="142"/>
      <c r="I105" s="142"/>
      <c r="J105" s="142"/>
      <c r="K105" s="142"/>
      <c r="L105" s="142"/>
      <c r="M105" s="143"/>
      <c r="N105" s="14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28">
        <v>5.0</v>
      </c>
      <c r="B106" s="129">
        <v>20.0</v>
      </c>
      <c r="C106" s="148"/>
      <c r="D106" s="148"/>
      <c r="E106" s="148"/>
      <c r="F106" s="142"/>
      <c r="G106" s="142"/>
      <c r="H106" s="142"/>
      <c r="I106" s="142"/>
      <c r="J106" s="142"/>
      <c r="K106" s="142"/>
      <c r="L106" s="142"/>
      <c r="M106" s="143"/>
      <c r="N106" s="14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74">
        <v>6.0</v>
      </c>
      <c r="B107" s="174">
        <v>1.0</v>
      </c>
      <c r="C107" s="23" t="s">
        <v>54</v>
      </c>
      <c r="D107" s="174">
        <v>300.0</v>
      </c>
      <c r="E107" s="23" t="s">
        <v>38</v>
      </c>
      <c r="F107" s="23" t="s">
        <v>176</v>
      </c>
      <c r="G107" s="174">
        <v>0.0</v>
      </c>
      <c r="H107" s="174">
        <v>1000.0</v>
      </c>
      <c r="I107" s="23" t="s">
        <v>190</v>
      </c>
      <c r="J107" s="174">
        <v>350.0</v>
      </c>
      <c r="K107" s="23">
        <v>1.5</v>
      </c>
      <c r="L107" s="174">
        <v>1.0</v>
      </c>
      <c r="M107" s="23" t="s">
        <v>205</v>
      </c>
      <c r="N107" s="175">
        <v>46104.68230728009</v>
      </c>
    </row>
    <row r="108" ht="18.0" customHeight="1">
      <c r="A108" s="174">
        <v>6.0</v>
      </c>
      <c r="B108" s="174">
        <v>2.0</v>
      </c>
      <c r="C108" s="23" t="s">
        <v>179</v>
      </c>
      <c r="D108" s="174">
        <v>3.0</v>
      </c>
      <c r="E108" s="23" t="s">
        <v>9</v>
      </c>
      <c r="F108" s="1"/>
      <c r="G108" s="1"/>
      <c r="H108" s="1"/>
      <c r="I108" s="23" t="s">
        <v>186</v>
      </c>
      <c r="J108" s="174">
        <v>1250.0</v>
      </c>
      <c r="K108" s="1"/>
      <c r="L108" s="1"/>
      <c r="M108" s="1"/>
      <c r="N108" s="1"/>
    </row>
    <row r="109" ht="18.0" customHeight="1">
      <c r="A109" s="174">
        <v>6.0</v>
      </c>
      <c r="B109" s="174">
        <v>3.0</v>
      </c>
      <c r="C109" s="23" t="s">
        <v>20</v>
      </c>
      <c r="D109" s="174">
        <v>200.0</v>
      </c>
      <c r="E109" s="23" t="s">
        <v>16</v>
      </c>
      <c r="F109" s="1"/>
      <c r="G109" s="1"/>
      <c r="H109" s="1"/>
      <c r="I109" s="1"/>
      <c r="J109" s="1"/>
      <c r="K109" s="1"/>
      <c r="L109" s="1"/>
      <c r="M109" s="1"/>
      <c r="N109" s="1"/>
    </row>
    <row r="110" ht="18.0" customHeight="1">
      <c r="A110" s="174">
        <v>6.0</v>
      </c>
      <c r="B110" s="174">
        <v>4.0</v>
      </c>
      <c r="C110" s="23" t="s">
        <v>14</v>
      </c>
      <c r="D110" s="174">
        <v>315.0</v>
      </c>
      <c r="E110" s="23" t="s">
        <v>16</v>
      </c>
      <c r="F110" s="1"/>
      <c r="G110" s="1"/>
      <c r="H110" s="1"/>
      <c r="I110" s="1"/>
      <c r="J110" s="1"/>
      <c r="K110" s="1"/>
      <c r="L110" s="1"/>
      <c r="M110" s="1"/>
      <c r="N110" s="1"/>
    </row>
    <row r="111" ht="18.0" customHeight="1">
      <c r="A111" s="174">
        <v>6.0</v>
      </c>
      <c r="B111" s="174">
        <v>5.0</v>
      </c>
      <c r="C111" s="23" t="s">
        <v>113</v>
      </c>
      <c r="D111" s="174">
        <v>18.0</v>
      </c>
      <c r="E111" s="23" t="s">
        <v>16</v>
      </c>
      <c r="F111" s="1"/>
      <c r="G111" s="1"/>
      <c r="H111" s="1"/>
      <c r="I111" s="1"/>
      <c r="J111" s="1"/>
      <c r="K111" s="1"/>
      <c r="L111" s="1"/>
      <c r="M111" s="1"/>
      <c r="N111" s="1"/>
    </row>
    <row r="112" ht="18.0" customHeight="1">
      <c r="A112" s="174">
        <v>6.0</v>
      </c>
      <c r="B112" s="174">
        <v>6.0</v>
      </c>
      <c r="C112" s="23" t="s">
        <v>196</v>
      </c>
      <c r="D112" s="174">
        <v>50.0</v>
      </c>
      <c r="E112" s="23" t="s">
        <v>16</v>
      </c>
      <c r="F112" s="1"/>
      <c r="G112" s="1"/>
      <c r="H112" s="1"/>
      <c r="I112" s="1"/>
      <c r="J112" s="1"/>
      <c r="K112" s="1"/>
      <c r="L112" s="1"/>
      <c r="M112" s="1"/>
      <c r="N112" s="1"/>
    </row>
    <row r="113" ht="18.0" customHeight="1">
      <c r="A113" s="174">
        <v>6.0</v>
      </c>
      <c r="B113" s="174">
        <v>7.0</v>
      </c>
      <c r="C113" s="23" t="s">
        <v>96</v>
      </c>
      <c r="D113" s="174">
        <v>15.0</v>
      </c>
      <c r="E113" s="23" t="s">
        <v>16</v>
      </c>
      <c r="F113" s="1"/>
      <c r="G113" s="1"/>
      <c r="H113" s="1"/>
      <c r="I113" s="1"/>
      <c r="J113" s="1"/>
      <c r="K113" s="1"/>
      <c r="L113" s="1"/>
      <c r="M113" s="1"/>
      <c r="N113" s="1"/>
    </row>
    <row r="114" ht="18.0" customHeight="1">
      <c r="A114" s="174">
        <v>6.0</v>
      </c>
      <c r="B114" s="174">
        <v>8.0</v>
      </c>
      <c r="C114" s="23" t="s">
        <v>50</v>
      </c>
      <c r="D114" s="174">
        <v>5.0</v>
      </c>
      <c r="E114" s="23" t="s">
        <v>38</v>
      </c>
      <c r="F114" s="1"/>
      <c r="G114" s="1"/>
      <c r="H114" s="1"/>
      <c r="I114" s="1"/>
      <c r="J114" s="1"/>
      <c r="K114" s="1"/>
      <c r="L114" s="1"/>
      <c r="M114" s="1"/>
      <c r="N114" s="1"/>
    </row>
    <row r="115" ht="18.0" customHeight="1">
      <c r="A115" s="174">
        <v>6.0</v>
      </c>
      <c r="B115" s="174">
        <v>9.0</v>
      </c>
      <c r="C115" s="23" t="s">
        <v>200</v>
      </c>
      <c r="D115" s="174">
        <v>25.0</v>
      </c>
      <c r="E115" s="23" t="s">
        <v>16</v>
      </c>
      <c r="F115" s="1"/>
      <c r="G115" s="1"/>
      <c r="H115" s="1"/>
      <c r="I115" s="1"/>
      <c r="J115" s="1"/>
      <c r="K115" s="1"/>
      <c r="L115" s="1"/>
      <c r="M115" s="1"/>
      <c r="N115" s="1"/>
    </row>
    <row r="116" ht="18.0" customHeight="1">
      <c r="A116" s="174">
        <v>6.0</v>
      </c>
      <c r="B116" s="174">
        <v>10.0</v>
      </c>
      <c r="C116" s="23" t="s">
        <v>124</v>
      </c>
      <c r="D116" s="174">
        <v>25.0</v>
      </c>
      <c r="E116" s="23" t="s">
        <v>16</v>
      </c>
      <c r="F116" s="1"/>
      <c r="G116" s="1"/>
      <c r="H116" s="1"/>
      <c r="I116" s="1"/>
      <c r="J116" s="1"/>
      <c r="K116" s="1"/>
      <c r="L116" s="1"/>
      <c r="M116" s="1"/>
      <c r="N116" s="1"/>
    </row>
    <row r="117" ht="18.0" customHeight="1">
      <c r="A117" s="174">
        <v>6.0</v>
      </c>
      <c r="B117" s="174">
        <v>11.0</v>
      </c>
      <c r="C117" s="23" t="s">
        <v>125</v>
      </c>
      <c r="D117" s="174">
        <v>35.0</v>
      </c>
      <c r="E117" s="23" t="s">
        <v>16</v>
      </c>
      <c r="F117" s="1"/>
      <c r="G117" s="1"/>
      <c r="H117" s="1"/>
      <c r="I117" s="1"/>
      <c r="J117" s="1"/>
      <c r="K117" s="1"/>
      <c r="L117" s="1"/>
      <c r="M117" s="1"/>
      <c r="N117" s="1"/>
    </row>
    <row r="118" ht="18.0" customHeight="1">
      <c r="A118" s="174">
        <v>6.0</v>
      </c>
      <c r="B118" s="174">
        <v>12.0</v>
      </c>
      <c r="C118" s="23" t="s">
        <v>60</v>
      </c>
      <c r="D118" s="174">
        <v>400.0</v>
      </c>
      <c r="E118" s="23" t="s">
        <v>16</v>
      </c>
      <c r="F118" s="1"/>
      <c r="G118" s="1"/>
      <c r="H118" s="1"/>
      <c r="I118" s="1"/>
      <c r="J118" s="1"/>
      <c r="K118" s="1"/>
      <c r="L118" s="1"/>
      <c r="M118" s="1"/>
      <c r="N118" s="1"/>
    </row>
    <row r="119" ht="18.0" customHeight="1">
      <c r="A119" s="174">
        <v>6.0</v>
      </c>
      <c r="B119" s="174">
        <v>13.0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8.0" customHeight="1">
      <c r="A120" s="174">
        <v>6.0</v>
      </c>
      <c r="B120" s="174">
        <v>14.0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8.0" customHeight="1">
      <c r="A121" s="174">
        <v>6.0</v>
      </c>
      <c r="B121" s="174">
        <v>15.0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8.0" customHeight="1">
      <c r="A122" s="174">
        <v>6.0</v>
      </c>
      <c r="B122" s="174">
        <v>16.0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8.0" customHeight="1">
      <c r="A123" s="174">
        <v>6.0</v>
      </c>
      <c r="B123" s="174">
        <v>17.0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8.0" customHeight="1">
      <c r="A124" s="174">
        <v>6.0</v>
      </c>
      <c r="B124" s="174">
        <v>18.0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8.0" customHeight="1">
      <c r="A125" s="174">
        <v>6.0</v>
      </c>
      <c r="B125" s="174">
        <v>19.0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8.0" customHeight="1">
      <c r="A126" s="174">
        <v>6.0</v>
      </c>
      <c r="B126" s="174">
        <v>20.0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8.0" customHeight="1">
      <c r="A127" s="174">
        <v>7.0</v>
      </c>
      <c r="B127" s="174">
        <v>1.0</v>
      </c>
      <c r="C127" s="1"/>
      <c r="D127" s="1"/>
      <c r="E127" s="1"/>
      <c r="F127" s="23" t="s">
        <v>176</v>
      </c>
      <c r="G127" s="174">
        <v>0.0</v>
      </c>
      <c r="H127" s="174">
        <v>1000.0</v>
      </c>
      <c r="I127" s="23" t="s">
        <v>206</v>
      </c>
      <c r="J127" s="174">
        <v>30.0</v>
      </c>
      <c r="K127" s="174">
        <v>1.5</v>
      </c>
      <c r="L127" s="174">
        <v>1.0</v>
      </c>
      <c r="M127" s="23" t="s">
        <v>207</v>
      </c>
      <c r="N127" s="175">
        <v>46104.68878408565</v>
      </c>
    </row>
    <row r="128" ht="18.0" customHeight="1">
      <c r="A128" s="174">
        <v>7.0</v>
      </c>
      <c r="B128" s="174">
        <v>2.0</v>
      </c>
      <c r="C128" s="23" t="s">
        <v>124</v>
      </c>
      <c r="D128" s="174">
        <v>125.0</v>
      </c>
      <c r="E128" s="23" t="s">
        <v>16</v>
      </c>
      <c r="F128" s="1"/>
      <c r="G128" s="1"/>
      <c r="H128" s="1"/>
      <c r="I128" s="1"/>
      <c r="J128" s="1"/>
      <c r="K128" s="1"/>
      <c r="L128" s="1"/>
      <c r="M128" s="1"/>
      <c r="N128" s="1"/>
    </row>
    <row r="129" ht="18.0" customHeight="1">
      <c r="A129" s="174">
        <v>7.0</v>
      </c>
      <c r="B129" s="174">
        <v>3.0</v>
      </c>
      <c r="C129" s="23" t="s">
        <v>208</v>
      </c>
      <c r="D129" s="174">
        <v>3.0</v>
      </c>
      <c r="E129" s="23" t="s">
        <v>9</v>
      </c>
      <c r="F129" s="1"/>
      <c r="G129" s="1"/>
      <c r="H129" s="1"/>
      <c r="I129" s="1"/>
      <c r="J129" s="1"/>
      <c r="K129" s="1"/>
      <c r="L129" s="1"/>
      <c r="M129" s="1"/>
      <c r="N129" s="1"/>
    </row>
    <row r="130" ht="18.0" customHeight="1">
      <c r="A130" s="174">
        <v>7.0</v>
      </c>
      <c r="B130" s="174">
        <v>4.0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8.0" customHeight="1">
      <c r="A131" s="174">
        <v>7.0</v>
      </c>
      <c r="B131" s="174">
        <v>5.0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8.0" customHeight="1">
      <c r="A132" s="174">
        <v>7.0</v>
      </c>
      <c r="B132" s="174">
        <v>6.0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8.0" customHeight="1">
      <c r="A133" s="174">
        <v>7.0</v>
      </c>
      <c r="B133" s="174">
        <v>7.0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8.0" customHeight="1">
      <c r="A134" s="174">
        <v>7.0</v>
      </c>
      <c r="B134" s="174">
        <v>8.0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8.0" customHeight="1">
      <c r="A135" s="174">
        <v>7.0</v>
      </c>
      <c r="B135" s="174">
        <v>9.0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8.0" customHeight="1">
      <c r="A136" s="174">
        <v>7.0</v>
      </c>
      <c r="B136" s="174">
        <v>10.0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8.0" customHeight="1">
      <c r="A137" s="174">
        <v>7.0</v>
      </c>
      <c r="B137" s="174">
        <v>11.0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8.0" customHeight="1">
      <c r="A138" s="174">
        <v>7.0</v>
      </c>
      <c r="B138" s="174">
        <v>12.0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8.0" customHeight="1">
      <c r="A139" s="174">
        <v>7.0</v>
      </c>
      <c r="B139" s="174">
        <v>13.0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8.0" customHeight="1">
      <c r="A140" s="174">
        <v>7.0</v>
      </c>
      <c r="B140" s="174">
        <v>14.0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8.0" customHeight="1">
      <c r="A141" s="174">
        <v>7.0</v>
      </c>
      <c r="B141" s="174">
        <v>15.0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8.0" customHeight="1">
      <c r="A142" s="174">
        <v>7.0</v>
      </c>
      <c r="B142" s="174">
        <v>16.0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8.0" customHeight="1">
      <c r="A143" s="174">
        <v>7.0</v>
      </c>
      <c r="B143" s="174">
        <v>17.0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8.0" customHeight="1">
      <c r="A144" s="174">
        <v>7.0</v>
      </c>
      <c r="B144" s="174">
        <v>18.0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8.0" customHeight="1">
      <c r="A145" s="174">
        <v>7.0</v>
      </c>
      <c r="B145" s="174">
        <v>19.0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8.0" customHeight="1">
      <c r="A146" s="174">
        <v>7.0</v>
      </c>
      <c r="B146" s="174">
        <v>20.0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8.0" customHeight="1">
      <c r="A147" s="174">
        <v>8.0</v>
      </c>
      <c r="B147" s="174">
        <v>1.0</v>
      </c>
      <c r="C147" s="23" t="s">
        <v>60</v>
      </c>
      <c r="D147" s="174">
        <v>100.0</v>
      </c>
      <c r="E147" s="23" t="s">
        <v>16</v>
      </c>
      <c r="F147" s="23" t="s">
        <v>176</v>
      </c>
      <c r="G147" s="174">
        <v>0.0</v>
      </c>
      <c r="H147" s="174">
        <v>1000.0</v>
      </c>
      <c r="I147" s="23" t="s">
        <v>206</v>
      </c>
      <c r="J147" s="174">
        <v>30.0</v>
      </c>
      <c r="K147" s="174">
        <v>1.5</v>
      </c>
      <c r="L147" s="174">
        <v>1.0</v>
      </c>
      <c r="M147" s="23" t="s">
        <v>209</v>
      </c>
      <c r="N147" s="175">
        <v>46104.68948417824</v>
      </c>
    </row>
    <row r="148" ht="18.0" customHeight="1">
      <c r="A148" s="174">
        <v>8.0</v>
      </c>
      <c r="B148" s="174">
        <v>2.0</v>
      </c>
      <c r="C148" s="23" t="s">
        <v>124</v>
      </c>
      <c r="D148" s="174">
        <v>125.0</v>
      </c>
      <c r="E148" s="23" t="s">
        <v>16</v>
      </c>
      <c r="F148" s="1"/>
      <c r="G148" s="1"/>
      <c r="H148" s="1"/>
      <c r="I148" s="1"/>
      <c r="J148" s="1"/>
      <c r="K148" s="1"/>
      <c r="L148" s="1"/>
      <c r="M148" s="1"/>
      <c r="N148" s="1"/>
    </row>
    <row r="149" ht="18.0" customHeight="1">
      <c r="A149" s="174">
        <v>8.0</v>
      </c>
      <c r="B149" s="174">
        <v>3.0</v>
      </c>
      <c r="C149" s="23" t="s">
        <v>208</v>
      </c>
      <c r="D149" s="174">
        <v>3.0</v>
      </c>
      <c r="E149" s="23" t="s">
        <v>9</v>
      </c>
      <c r="F149" s="1"/>
      <c r="G149" s="1"/>
      <c r="H149" s="1"/>
      <c r="I149" s="1"/>
      <c r="J149" s="1"/>
      <c r="K149" s="1"/>
      <c r="L149" s="1"/>
      <c r="M149" s="1"/>
      <c r="N149" s="1"/>
    </row>
    <row r="150" ht="18.0" customHeight="1">
      <c r="A150" s="174">
        <v>8.0</v>
      </c>
      <c r="B150" s="174">
        <v>4.0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8.0" customHeight="1">
      <c r="A151" s="174">
        <v>8.0</v>
      </c>
      <c r="B151" s="174">
        <v>5.0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8.0" customHeight="1">
      <c r="A152" s="174">
        <v>8.0</v>
      </c>
      <c r="B152" s="174">
        <v>6.0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8.0" customHeight="1">
      <c r="A153" s="174">
        <v>8.0</v>
      </c>
      <c r="B153" s="174">
        <v>7.0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8.0" customHeight="1">
      <c r="A154" s="174">
        <v>8.0</v>
      </c>
      <c r="B154" s="174">
        <v>8.0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8.0" customHeight="1">
      <c r="A155" s="174">
        <v>8.0</v>
      </c>
      <c r="B155" s="174">
        <v>9.0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8.0" customHeight="1">
      <c r="A156" s="174">
        <v>8.0</v>
      </c>
      <c r="B156" s="174">
        <v>10.0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8.0" customHeight="1">
      <c r="A157" s="174">
        <v>8.0</v>
      </c>
      <c r="B157" s="174">
        <v>11.0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8.0" customHeight="1">
      <c r="A158" s="174">
        <v>8.0</v>
      </c>
      <c r="B158" s="174">
        <v>12.0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8.0" customHeight="1">
      <c r="A159" s="174">
        <v>8.0</v>
      </c>
      <c r="B159" s="174">
        <v>13.0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8.0" customHeight="1">
      <c r="A160" s="174">
        <v>8.0</v>
      </c>
      <c r="B160" s="174">
        <v>14.0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8.0" customHeight="1">
      <c r="A161" s="174">
        <v>8.0</v>
      </c>
      <c r="B161" s="174">
        <v>15.0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8.0" customHeight="1">
      <c r="A162" s="174">
        <v>8.0</v>
      </c>
      <c r="B162" s="174">
        <v>16.0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8.0" customHeight="1">
      <c r="A163" s="174">
        <v>8.0</v>
      </c>
      <c r="B163" s="174">
        <v>17.0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8.0" customHeight="1">
      <c r="A164" s="174">
        <v>8.0</v>
      </c>
      <c r="B164" s="174">
        <v>18.0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8.0" customHeight="1">
      <c r="A165" s="174">
        <v>8.0</v>
      </c>
      <c r="B165" s="174">
        <v>19.0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8.0" customHeight="1">
      <c r="A166" s="174">
        <v>8.0</v>
      </c>
      <c r="B166" s="174">
        <v>20.0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8.0" customHeight="1">
      <c r="A167" s="174">
        <v>9.0</v>
      </c>
      <c r="B167" s="174">
        <v>1.0</v>
      </c>
      <c r="C167" s="23" t="s">
        <v>71</v>
      </c>
      <c r="D167" s="174">
        <v>100.0</v>
      </c>
      <c r="E167" s="23" t="s">
        <v>16</v>
      </c>
      <c r="F167" s="1"/>
      <c r="G167" s="1"/>
      <c r="H167" s="1"/>
      <c r="I167" s="23" t="s">
        <v>186</v>
      </c>
      <c r="J167" s="174">
        <v>1250.0</v>
      </c>
      <c r="K167" s="174">
        <v>1.5</v>
      </c>
      <c r="L167" s="174">
        <v>10.0</v>
      </c>
      <c r="M167" s="23" t="s">
        <v>210</v>
      </c>
      <c r="N167" s="175">
        <v>46104.78946878472</v>
      </c>
    </row>
    <row r="168" ht="18.0" customHeight="1">
      <c r="A168" s="174">
        <v>9.0</v>
      </c>
      <c r="B168" s="174">
        <v>2.0</v>
      </c>
      <c r="C168" s="23" t="s">
        <v>124</v>
      </c>
      <c r="D168" s="174">
        <v>150.0</v>
      </c>
      <c r="E168" s="23" t="s">
        <v>16</v>
      </c>
      <c r="F168" s="1"/>
      <c r="G168" s="1"/>
      <c r="H168" s="1"/>
      <c r="I168" s="23" t="s">
        <v>211</v>
      </c>
      <c r="J168" s="174">
        <v>600.0</v>
      </c>
      <c r="K168" s="1"/>
      <c r="L168" s="1"/>
      <c r="M168" s="1"/>
      <c r="N168" s="1"/>
    </row>
    <row r="169" ht="18.0" customHeight="1">
      <c r="A169" s="174">
        <v>9.0</v>
      </c>
      <c r="B169" s="174">
        <v>3.0</v>
      </c>
      <c r="C169" s="23" t="s">
        <v>20</v>
      </c>
      <c r="D169" s="174">
        <v>220.0</v>
      </c>
      <c r="E169" s="23" t="s">
        <v>16</v>
      </c>
      <c r="F169" s="1"/>
      <c r="G169" s="1"/>
      <c r="H169" s="1"/>
      <c r="I169" s="1"/>
      <c r="J169" s="1"/>
      <c r="K169" s="1"/>
      <c r="L169" s="1"/>
      <c r="M169" s="1"/>
      <c r="N169" s="1"/>
    </row>
    <row r="170" ht="18.0" customHeight="1">
      <c r="A170" s="174">
        <v>9.0</v>
      </c>
      <c r="B170" s="174">
        <v>4.0</v>
      </c>
      <c r="C170" s="23" t="s">
        <v>179</v>
      </c>
      <c r="D170" s="174">
        <v>3.0</v>
      </c>
      <c r="E170" s="23" t="s">
        <v>9</v>
      </c>
      <c r="F170" s="1"/>
      <c r="G170" s="1"/>
      <c r="H170" s="1"/>
      <c r="I170" s="1"/>
      <c r="J170" s="1"/>
      <c r="K170" s="1"/>
      <c r="L170" s="1"/>
      <c r="M170" s="1"/>
      <c r="N170" s="1"/>
    </row>
    <row r="171" ht="18.0" customHeight="1">
      <c r="A171" s="174">
        <v>9.0</v>
      </c>
      <c r="B171" s="174">
        <v>5.0</v>
      </c>
      <c r="C171" s="23" t="s">
        <v>14</v>
      </c>
      <c r="D171" s="174">
        <v>90.0</v>
      </c>
      <c r="E171" s="23" t="s">
        <v>16</v>
      </c>
      <c r="F171" s="1"/>
      <c r="G171" s="1"/>
      <c r="H171" s="1"/>
      <c r="I171" s="1"/>
      <c r="J171" s="1"/>
      <c r="K171" s="1"/>
      <c r="L171" s="1"/>
      <c r="M171" s="1"/>
      <c r="N171" s="1"/>
    </row>
    <row r="172" ht="18.0" customHeight="1">
      <c r="A172" s="174">
        <v>9.0</v>
      </c>
      <c r="B172" s="174">
        <v>6.0</v>
      </c>
      <c r="C172" s="23" t="s">
        <v>37</v>
      </c>
      <c r="D172" s="174">
        <v>200.0</v>
      </c>
      <c r="E172" s="23" t="s">
        <v>38</v>
      </c>
      <c r="F172" s="1"/>
      <c r="G172" s="1"/>
      <c r="H172" s="1"/>
      <c r="I172" s="1"/>
      <c r="J172" s="1"/>
      <c r="K172" s="1"/>
      <c r="L172" s="1"/>
      <c r="M172" s="1"/>
      <c r="N172" s="1"/>
    </row>
    <row r="173" ht="18.0" customHeight="1">
      <c r="A173" s="174">
        <v>9.0</v>
      </c>
      <c r="B173" s="174">
        <v>7.0</v>
      </c>
      <c r="C173" s="23" t="s">
        <v>60</v>
      </c>
      <c r="D173" s="174">
        <v>250.0</v>
      </c>
      <c r="E173" s="23" t="s">
        <v>16</v>
      </c>
      <c r="F173" s="1"/>
      <c r="G173" s="1"/>
      <c r="H173" s="1"/>
      <c r="I173" s="1"/>
      <c r="J173" s="1"/>
      <c r="K173" s="1"/>
      <c r="L173" s="1"/>
      <c r="M173" s="1"/>
      <c r="N173" s="1"/>
    </row>
    <row r="174" ht="18.0" customHeight="1">
      <c r="A174" s="174">
        <v>9.0</v>
      </c>
      <c r="B174" s="174">
        <v>8.0</v>
      </c>
      <c r="C174" s="23" t="s">
        <v>68</v>
      </c>
      <c r="D174" s="174">
        <v>400.0</v>
      </c>
      <c r="E174" s="23" t="s">
        <v>16</v>
      </c>
      <c r="F174" s="1"/>
      <c r="G174" s="1"/>
      <c r="H174" s="1"/>
      <c r="I174" s="1"/>
      <c r="J174" s="1"/>
      <c r="K174" s="1"/>
      <c r="L174" s="1"/>
      <c r="M174" s="1"/>
      <c r="N174" s="1"/>
    </row>
    <row r="175" ht="18.0" customHeight="1">
      <c r="A175" s="174">
        <v>9.0</v>
      </c>
      <c r="B175" s="174">
        <v>9.0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8.0" customHeight="1">
      <c r="A176" s="174">
        <v>9.0</v>
      </c>
      <c r="B176" s="174">
        <v>10.0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8.0" customHeight="1">
      <c r="A177" s="174">
        <v>9.0</v>
      </c>
      <c r="B177" s="174">
        <v>11.0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8.0" customHeight="1">
      <c r="A178" s="174">
        <v>9.0</v>
      </c>
      <c r="B178" s="174">
        <v>12.0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8.0" customHeight="1">
      <c r="A179" s="174">
        <v>9.0</v>
      </c>
      <c r="B179" s="174">
        <v>13.0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8.0" customHeight="1">
      <c r="A180" s="174">
        <v>9.0</v>
      </c>
      <c r="B180" s="174">
        <v>14.0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8.0" customHeight="1">
      <c r="A181" s="174">
        <v>9.0</v>
      </c>
      <c r="B181" s="174">
        <v>15.0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8.0" customHeight="1">
      <c r="A182" s="174">
        <v>9.0</v>
      </c>
      <c r="B182" s="174">
        <v>16.0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8.0" customHeight="1">
      <c r="A183" s="174">
        <v>9.0</v>
      </c>
      <c r="B183" s="174">
        <v>17.0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8.0" customHeight="1">
      <c r="A184" s="174">
        <v>9.0</v>
      </c>
      <c r="B184" s="174">
        <v>18.0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8.0" customHeight="1">
      <c r="A185" s="174">
        <v>9.0</v>
      </c>
      <c r="B185" s="174">
        <v>19.0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8.0" customHeight="1">
      <c r="A186" s="174">
        <v>9.0</v>
      </c>
      <c r="B186" s="174">
        <v>20.0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8.0" customHeight="1">
      <c r="A187" s="174">
        <v>10.0</v>
      </c>
      <c r="B187" s="174">
        <v>1.0</v>
      </c>
      <c r="C187" s="23" t="s">
        <v>87</v>
      </c>
      <c r="D187" s="174">
        <v>200.0</v>
      </c>
      <c r="E187" s="23" t="s">
        <v>16</v>
      </c>
      <c r="F187" s="23" t="s">
        <v>167</v>
      </c>
      <c r="G187" s="174">
        <v>3.0</v>
      </c>
      <c r="H187" s="174">
        <v>5000.0</v>
      </c>
      <c r="I187" s="23" t="s">
        <v>212</v>
      </c>
      <c r="J187" s="174">
        <v>1200.0</v>
      </c>
      <c r="K187" s="174">
        <v>0.6</v>
      </c>
      <c r="L187" s="174">
        <v>1.0</v>
      </c>
      <c r="M187" s="23" t="s">
        <v>213</v>
      </c>
      <c r="N187" s="175">
        <v>46187.59726996528</v>
      </c>
    </row>
    <row r="188" ht="18.0" customHeight="1">
      <c r="A188" s="174">
        <v>10.0</v>
      </c>
      <c r="B188" s="174">
        <v>2.0</v>
      </c>
      <c r="C188" s="23" t="s">
        <v>71</v>
      </c>
      <c r="D188" s="174">
        <v>70.0</v>
      </c>
      <c r="E188" s="23" t="s">
        <v>16</v>
      </c>
      <c r="F188" s="1"/>
      <c r="G188" s="1"/>
      <c r="H188" s="1"/>
      <c r="I188" s="23" t="s">
        <v>214</v>
      </c>
      <c r="J188" s="174">
        <v>2000.0</v>
      </c>
      <c r="K188" s="1"/>
      <c r="L188" s="1"/>
      <c r="M188" s="1"/>
      <c r="N188" s="1"/>
    </row>
    <row r="189" ht="18.0" customHeight="1">
      <c r="A189" s="174">
        <v>10.0</v>
      </c>
      <c r="B189" s="174">
        <v>3.0</v>
      </c>
      <c r="C189" s="23" t="s">
        <v>41</v>
      </c>
      <c r="D189" s="174">
        <v>900.0</v>
      </c>
      <c r="E189" s="23" t="s">
        <v>16</v>
      </c>
      <c r="F189" s="1"/>
      <c r="G189" s="1"/>
      <c r="H189" s="1"/>
      <c r="I189" s="23" t="s">
        <v>186</v>
      </c>
      <c r="J189" s="174">
        <v>1200.0</v>
      </c>
      <c r="K189" s="1"/>
      <c r="L189" s="1"/>
      <c r="M189" s="1"/>
      <c r="N189" s="1"/>
    </row>
    <row r="190" ht="18.0" customHeight="1">
      <c r="A190" s="174">
        <v>10.0</v>
      </c>
      <c r="B190" s="174">
        <v>4.0</v>
      </c>
      <c r="C190" s="23" t="s">
        <v>20</v>
      </c>
      <c r="D190" s="174">
        <v>450.0</v>
      </c>
      <c r="E190" s="23" t="s">
        <v>16</v>
      </c>
      <c r="F190" s="1"/>
      <c r="G190" s="1"/>
      <c r="H190" s="1"/>
      <c r="I190" s="1"/>
      <c r="J190" s="1"/>
      <c r="K190" s="1"/>
      <c r="L190" s="1"/>
      <c r="M190" s="1"/>
      <c r="N190" s="1"/>
    </row>
    <row r="191" ht="18.0" customHeight="1">
      <c r="A191" s="174">
        <v>10.0</v>
      </c>
      <c r="B191" s="174">
        <v>5.0</v>
      </c>
      <c r="C191" s="23" t="s">
        <v>179</v>
      </c>
      <c r="D191" s="174">
        <v>5.0</v>
      </c>
      <c r="E191" s="23" t="s">
        <v>9</v>
      </c>
      <c r="F191" s="1"/>
      <c r="G191" s="1"/>
      <c r="H191" s="1"/>
      <c r="I191" s="1"/>
      <c r="J191" s="1"/>
      <c r="K191" s="1"/>
      <c r="L191" s="1"/>
      <c r="M191" s="1"/>
      <c r="N191" s="1"/>
    </row>
    <row r="192" ht="18.0" customHeight="1">
      <c r="A192" s="174">
        <v>10.0</v>
      </c>
      <c r="B192" s="174">
        <v>6.0</v>
      </c>
      <c r="C192" s="23" t="s">
        <v>37</v>
      </c>
      <c r="D192" s="174">
        <v>500.0</v>
      </c>
      <c r="E192" s="23" t="s">
        <v>38</v>
      </c>
      <c r="F192" s="1"/>
      <c r="G192" s="1"/>
      <c r="H192" s="1"/>
      <c r="I192" s="1"/>
      <c r="J192" s="1"/>
      <c r="K192" s="1"/>
      <c r="L192" s="1"/>
      <c r="M192" s="1"/>
      <c r="N192" s="1"/>
    </row>
    <row r="193" ht="18.0" customHeight="1">
      <c r="A193" s="174">
        <v>10.0</v>
      </c>
      <c r="B193" s="174">
        <v>7.0</v>
      </c>
      <c r="C193" s="23" t="s">
        <v>68</v>
      </c>
      <c r="D193" s="174">
        <v>800.0</v>
      </c>
      <c r="E193" s="23" t="s">
        <v>16</v>
      </c>
      <c r="F193" s="1"/>
      <c r="G193" s="1"/>
      <c r="H193" s="1"/>
      <c r="I193" s="1"/>
      <c r="J193" s="1"/>
      <c r="K193" s="1"/>
      <c r="L193" s="1"/>
      <c r="M193" s="1"/>
      <c r="N193" s="1"/>
    </row>
    <row r="194" ht="18.0" customHeight="1">
      <c r="A194" s="174">
        <v>10.0</v>
      </c>
      <c r="B194" s="174">
        <v>8.0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8.0" customHeight="1">
      <c r="A195" s="174">
        <v>10.0</v>
      </c>
      <c r="B195" s="174">
        <v>9.0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8.0" customHeight="1">
      <c r="A196" s="174">
        <v>10.0</v>
      </c>
      <c r="B196" s="174">
        <v>10.0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8.0" customHeight="1">
      <c r="A197" s="174">
        <v>10.0</v>
      </c>
      <c r="B197" s="174">
        <v>11.0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8.0" customHeight="1">
      <c r="A198" s="174">
        <v>10.0</v>
      </c>
      <c r="B198" s="174">
        <v>12.0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8.0" customHeight="1">
      <c r="A199" s="174">
        <v>10.0</v>
      </c>
      <c r="B199" s="174">
        <v>13.0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8.0" customHeight="1">
      <c r="A200" s="174">
        <v>10.0</v>
      </c>
      <c r="B200" s="174">
        <v>14.0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8.0" customHeight="1">
      <c r="A201" s="174">
        <v>10.0</v>
      </c>
      <c r="B201" s="174">
        <v>15.0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8.0" customHeight="1">
      <c r="A202" s="174">
        <v>10.0</v>
      </c>
      <c r="B202" s="174">
        <v>16.0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8.0" customHeight="1">
      <c r="A203" s="174">
        <v>10.0</v>
      </c>
      <c r="B203" s="174">
        <v>17.0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8.0" customHeight="1">
      <c r="A204" s="174">
        <v>10.0</v>
      </c>
      <c r="B204" s="174">
        <v>18.0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8.0" customHeight="1">
      <c r="A205" s="174">
        <v>10.0</v>
      </c>
      <c r="B205" s="174">
        <v>19.0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8.0" customHeight="1">
      <c r="A206" s="174">
        <v>10.0</v>
      </c>
      <c r="B206" s="174">
        <v>20.0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8.0" customHeight="1">
      <c r="A207" s="174">
        <v>11.0</v>
      </c>
      <c r="B207" s="174">
        <v>1.0</v>
      </c>
      <c r="C207" s="23" t="s">
        <v>87</v>
      </c>
      <c r="D207" s="174">
        <v>510.0</v>
      </c>
      <c r="E207" s="23" t="s">
        <v>16</v>
      </c>
      <c r="F207" s="1"/>
      <c r="G207" s="1"/>
      <c r="H207" s="1"/>
      <c r="I207" s="23" t="s">
        <v>169</v>
      </c>
      <c r="J207" s="174">
        <v>35.0</v>
      </c>
      <c r="K207" s="174">
        <v>0.0</v>
      </c>
      <c r="L207" s="174">
        <v>1.0</v>
      </c>
      <c r="M207" s="23" t="s">
        <v>134</v>
      </c>
      <c r="N207" s="175">
        <v>46196.51248690972</v>
      </c>
    </row>
    <row r="208" ht="18.0" customHeight="1">
      <c r="A208" s="174">
        <v>11.0</v>
      </c>
      <c r="B208" s="174">
        <v>2.0</v>
      </c>
      <c r="C208" s="23" t="s">
        <v>14</v>
      </c>
      <c r="D208" s="174">
        <v>500.0</v>
      </c>
      <c r="E208" s="23" t="s">
        <v>215</v>
      </c>
      <c r="F208" s="1"/>
      <c r="G208" s="1"/>
      <c r="H208" s="1"/>
      <c r="I208" s="1"/>
      <c r="J208" s="1"/>
      <c r="K208" s="1"/>
      <c r="L208" s="1"/>
      <c r="M208" s="1"/>
      <c r="N208" s="1"/>
    </row>
    <row r="209" ht="18.0" customHeight="1">
      <c r="A209" s="174">
        <v>11.0</v>
      </c>
      <c r="B209" s="174">
        <v>3.0</v>
      </c>
      <c r="C209" s="23" t="s">
        <v>71</v>
      </c>
      <c r="D209" s="174">
        <v>100.0</v>
      </c>
      <c r="E209" s="23" t="s">
        <v>16</v>
      </c>
      <c r="F209" s="1"/>
      <c r="G209" s="1"/>
      <c r="H209" s="1"/>
      <c r="I209" s="1"/>
      <c r="J209" s="1"/>
      <c r="K209" s="1"/>
      <c r="L209" s="1"/>
      <c r="M209" s="1"/>
      <c r="N209" s="1"/>
    </row>
    <row r="210" ht="18.0" customHeight="1">
      <c r="A210" s="174">
        <v>11.0</v>
      </c>
      <c r="B210" s="174">
        <v>4.0</v>
      </c>
      <c r="C210" s="23" t="s">
        <v>20</v>
      </c>
      <c r="D210" s="1"/>
      <c r="E210" s="23" t="s">
        <v>16</v>
      </c>
      <c r="F210" s="1"/>
      <c r="G210" s="1"/>
      <c r="H210" s="1"/>
      <c r="I210" s="1"/>
      <c r="J210" s="1"/>
      <c r="K210" s="1"/>
      <c r="L210" s="1"/>
      <c r="M210" s="1"/>
      <c r="N210" s="1"/>
    </row>
    <row r="211" ht="18.0" customHeight="1">
      <c r="A211" s="174">
        <v>11.0</v>
      </c>
      <c r="B211" s="174">
        <v>5.0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8.0" customHeight="1">
      <c r="A212" s="174">
        <v>11.0</v>
      </c>
      <c r="B212" s="174">
        <v>6.0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8.0" customHeight="1">
      <c r="A213" s="174">
        <v>11.0</v>
      </c>
      <c r="B213" s="174">
        <v>7.0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8.0" customHeight="1">
      <c r="A214" s="174">
        <v>11.0</v>
      </c>
      <c r="B214" s="174">
        <v>8.0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8.0" customHeight="1">
      <c r="A215" s="174">
        <v>11.0</v>
      </c>
      <c r="B215" s="174">
        <v>9.0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8.0" customHeight="1">
      <c r="A216" s="174">
        <v>11.0</v>
      </c>
      <c r="B216" s="174">
        <v>10.0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8.0" customHeight="1">
      <c r="A217" s="174">
        <v>11.0</v>
      </c>
      <c r="B217" s="174">
        <v>11.0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8.0" customHeight="1">
      <c r="A218" s="174">
        <v>11.0</v>
      </c>
      <c r="B218" s="174">
        <v>12.0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8.0" customHeight="1">
      <c r="A219" s="174">
        <v>11.0</v>
      </c>
      <c r="B219" s="174">
        <v>13.0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8.0" customHeight="1">
      <c r="A220" s="174">
        <v>11.0</v>
      </c>
      <c r="B220" s="174">
        <v>14.0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74">
        <v>11.0</v>
      </c>
      <c r="B221" s="174">
        <v>15.0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74">
        <v>11.0</v>
      </c>
      <c r="B222" s="174">
        <v>16.0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74">
        <v>11.0</v>
      </c>
      <c r="B223" s="174">
        <v>17.0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74">
        <v>11.0</v>
      </c>
      <c r="B224" s="174">
        <v>18.0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74">
        <v>11.0</v>
      </c>
      <c r="B225" s="174">
        <v>19.0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74">
        <v>11.0</v>
      </c>
      <c r="B226" s="174">
        <v>20.0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rintOptions/>
  <pageMargins bottom="1.0" footer="0.0" header="0.0" left="0.75" right="0.75" top="1.0"/>
  <pageSetup paperSize="9" orientation="portrait"/>
  <drawing r:id="rId1"/>
</worksheet>
</file>